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cupcode\QA\Tool-Shop\02_Test_Case\Register\"/>
    </mc:Choice>
  </mc:AlternateContent>
  <xr:revisionPtr revIDLastSave="0" documentId="13_ncr:1_{A20E96EF-D20D-4DCE-8FEE-871A410F1748}" xr6:coauthVersionLast="47" xr6:coauthVersionMax="47" xr10:uidLastSave="{00000000-0000-0000-0000-000000000000}"/>
  <bookViews>
    <workbookView xWindow="-120" yWindow="-120" windowWidth="20730" windowHeight="11760" activeTab="2" xr2:uid="{A484E914-C329-4284-B44D-62BA54F2470F}"/>
  </bookViews>
  <sheets>
    <sheet name="Acceptance Criteria" sheetId="3" r:id="rId1"/>
    <sheet name="Test Case" sheetId="4" r:id="rId2"/>
    <sheet name="Summary"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6" i="2" l="1"/>
  <c r="C5" i="2"/>
</calcChain>
</file>

<file path=xl/sharedStrings.xml><?xml version="1.0" encoding="utf-8"?>
<sst xmlns="http://schemas.openxmlformats.org/spreadsheetml/2006/main" count="548" uniqueCount="338">
  <si>
    <t>Test Case ID</t>
  </si>
  <si>
    <t>Test Data</t>
  </si>
  <si>
    <t>Expected Result</t>
  </si>
  <si>
    <t>Actual Result</t>
  </si>
  <si>
    <t>Status</t>
  </si>
  <si>
    <t>Severity</t>
  </si>
  <si>
    <t>Priority</t>
  </si>
  <si>
    <t>TC_REG_001</t>
  </si>
  <si>
    <t>TC_REG_002</t>
  </si>
  <si>
    <t>TC_REG_003</t>
  </si>
  <si>
    <t>TC_REG_004</t>
  </si>
  <si>
    <t>TC_REG_005</t>
  </si>
  <si>
    <t>TC_REG_006</t>
  </si>
  <si>
    <t>TC_REG_007</t>
  </si>
  <si>
    <t>TC_REG_008</t>
  </si>
  <si>
    <t>TC_REG_009</t>
  </si>
  <si>
    <t>TC_REG_010</t>
  </si>
  <si>
    <t>TC_REG_011</t>
  </si>
  <si>
    <t>TC_REG_012</t>
  </si>
  <si>
    <t>TC_REG_013</t>
  </si>
  <si>
    <t>TC_REG_014</t>
  </si>
  <si>
    <t>TC_REG_015</t>
  </si>
  <si>
    <t>TC_REG_016</t>
  </si>
  <si>
    <t>TC_REG_017</t>
  </si>
  <si>
    <t>TC_REG_018</t>
  </si>
  <si>
    <t>TC_REG_019</t>
  </si>
  <si>
    <t>TC_REG_020</t>
  </si>
  <si>
    <t>TC_REG_021</t>
  </si>
  <si>
    <t>TC_REG_022</t>
  </si>
  <si>
    <t>TC_REG_023</t>
  </si>
  <si>
    <t>TC_REG_024</t>
  </si>
  <si>
    <t>TC_REG_025</t>
  </si>
  <si>
    <t>Register dengan invalid format email</t>
  </si>
  <si>
    <t>TC_REG_026</t>
  </si>
  <si>
    <t>TC_REG_027</t>
  </si>
  <si>
    <t>TC_REG_028</t>
  </si>
  <si>
    <t>TC_REG_029</t>
  </si>
  <si>
    <t>PASS</t>
  </si>
  <si>
    <t>FAIL</t>
  </si>
  <si>
    <t>1. Masuk ke halaman web
2. Masuk ke form sign in
3. Klik link menuju registrasi
4. Isi semua data valid yang diperlukan 
5. Klik tombol registrasi</t>
  </si>
  <si>
    <t>1. Masuk ke halaman web
2. Masuk ke form sign in
3. Klik link menuju registrasi
4. Kosongkan form registrasi
5. Klik tombol registrasi</t>
  </si>
  <si>
    <t>TC_REG_030</t>
  </si>
  <si>
    <t>TC_REG_031</t>
  </si>
  <si>
    <t>TC_REG_032</t>
  </si>
  <si>
    <t>TC_REG_033</t>
  </si>
  <si>
    <t>TC_REG_034</t>
  </si>
  <si>
    <t>TC_REG_035</t>
  </si>
  <si>
    <t>TC_REG_036</t>
  </si>
  <si>
    <t>TC_REG_037</t>
  </si>
  <si>
    <t>TC_REG_038</t>
  </si>
  <si>
    <t>TC_REG_039</t>
  </si>
  <si>
    <t>TC_REG_040</t>
  </si>
  <si>
    <t>Feature</t>
  </si>
  <si>
    <t>Total Scenario Executed</t>
  </si>
  <si>
    <t>Passed</t>
  </si>
  <si>
    <t>Failed</t>
  </si>
  <si>
    <t xml:space="preserve">: </t>
  </si>
  <si>
    <t>Registrasi</t>
  </si>
  <si>
    <t>:</t>
  </si>
  <si>
    <t>Summary Report</t>
  </si>
  <si>
    <t>Acceptance Criteria</t>
  </si>
  <si>
    <t>AC_ID</t>
  </si>
  <si>
    <t>AC_001</t>
  </si>
  <si>
    <t>AC_002</t>
  </si>
  <si>
    <t>AC_003</t>
  </si>
  <si>
    <t>AC_004</t>
  </si>
  <si>
    <t>Email harus bersifat unik dan dengan format yang valid</t>
  </si>
  <si>
    <t>Semua mandatory field wajib diisi</t>
  </si>
  <si>
    <t>Field name, address, dan phone harus diisi berdasarkan aturan validasi dan panjang maksimal</t>
  </si>
  <si>
    <t>AC_005</t>
  </si>
  <si>
    <t>AC_006</t>
  </si>
  <si>
    <t>Password harus terdiri dari minimal 8 karakter</t>
  </si>
  <si>
    <t>Password harus mengandung huruf besar, huruf kecil, angka, dan simbol, belum pernah digunakan sebelumnya, serta harus sama dengan password konfirmasi</t>
  </si>
  <si>
    <t>Test Case</t>
  </si>
  <si>
    <t>No</t>
  </si>
  <si>
    <t>Pre-Conditions</t>
  </si>
  <si>
    <t>Test Steps</t>
  </si>
  <si>
    <t>AC References</t>
  </si>
  <si>
    <t>Register dengan menggunakan data valid</t>
  </si>
  <si>
    <t>User berada pada halaman registrasi</t>
  </si>
  <si>
    <t>Sistem menerima input data dan user diarahkan menuju form sign in</t>
  </si>
  <si>
    <t>Register dengan mengosongkan semua field</t>
  </si>
  <si>
    <t>Register dengan mengosongkan field First name</t>
  </si>
  <si>
    <t>Register dengan mengosongkan field Last name</t>
  </si>
  <si>
    <t>Register dengan mengosongkan field Date of Birth</t>
  </si>
  <si>
    <t>Register dengan mengosongkan field Country</t>
  </si>
  <si>
    <t>Register dengan mengosongkan field Postal code</t>
  </si>
  <si>
    <t>Register dengan mengosongkan field Street</t>
  </si>
  <si>
    <t>Register dengan mengosongkan field House number</t>
  </si>
  <si>
    <t>Register dengan mengosongkan field State</t>
  </si>
  <si>
    <t>Register dengan mengosongkan field City</t>
  </si>
  <si>
    <t>Register dengan mengosongkan field Phone</t>
  </si>
  <si>
    <t>Register dengan mengosongkan field Email</t>
  </si>
  <si>
    <t>Register dengan mengosongkan field Password</t>
  </si>
  <si>
    <t>Register dengan mengosongkan field First name dan Last name</t>
  </si>
  <si>
    <t>Register dengan mengosongkan field Email dan Password</t>
  </si>
  <si>
    <t>Umur harus berada diantara 18 dan 75 tahun</t>
  </si>
  <si>
    <t>Register dengan mengisi field Date of Birth dengan tanggal dimasa mendatang</t>
  </si>
  <si>
    <t>Register dengan mengisi Date of Birth yang setara dengan umur 17 tahun</t>
  </si>
  <si>
    <t>Register dengan mengisi Date of Birth yang setara dengan umur 18 tahun</t>
  </si>
  <si>
    <t>Register dengan mengisi Date of Birth yang setara dengan umur 75 tahun</t>
  </si>
  <si>
    <t>Register dengan mengisi Date of Birth yang setara dengan umur 76 tahun</t>
  </si>
  <si>
    <t>Mengisi field Date of Birth dengan format  YYYY/MM/DD</t>
  </si>
  <si>
    <t>Exploratory Test</t>
  </si>
  <si>
    <t>Memastikan seluruh field alamat terisi secara otomatis setelah mengisi field Country, Postal code, dan House Number</t>
  </si>
  <si>
    <t>Mengubah isi alamat setelah terisi secara otomatis</t>
  </si>
  <si>
    <t>Memastikan seluruh field alamat berubah ketika isi field country diganti</t>
  </si>
  <si>
    <t>Mengisi field Phone dengan huruf</t>
  </si>
  <si>
    <t>Mengisi field phone dengan simbol</t>
  </si>
  <si>
    <t>Register dengan email yang belum teregistrasi</t>
  </si>
  <si>
    <t>Register dengan email yang telah teregistrasi</t>
  </si>
  <si>
    <t>Register dengan panjang password 7 karakter</t>
  </si>
  <si>
    <t>Register dengan panjang password 8 karakter</t>
  </si>
  <si>
    <t>Register dengan panjang password 9 karakter</t>
  </si>
  <si>
    <t>Mengisi field password hanya dengan huruf</t>
  </si>
  <si>
    <t>Mengisi field password tanpa huruf besar</t>
  </si>
  <si>
    <t>Mengisi field password tanpa huruf kecil</t>
  </si>
  <si>
    <t>Mengisi field password hanya dengan angka</t>
  </si>
  <si>
    <t>Mengisi field password tanpa angka</t>
  </si>
  <si>
    <t>TC_REG_041</t>
  </si>
  <si>
    <t>TC_REG_042</t>
  </si>
  <si>
    <t>Mengisi field password hanya dengan simbol</t>
  </si>
  <si>
    <t>Mengisi field password tanpa simbol</t>
  </si>
  <si>
    <t>TC_REG_043</t>
  </si>
  <si>
    <t>TC_REG_044</t>
  </si>
  <si>
    <t>TC_REG_045</t>
  </si>
  <si>
    <t>Mengisi field password dengan password yang belum pernah digunakan</t>
  </si>
  <si>
    <t>Mengisi field password dengan password yang sudah pernah digunakan</t>
  </si>
  <si>
    <t>Mengisi field password sama dengan confirm password</t>
  </si>
  <si>
    <t>Column1</t>
  </si>
  <si>
    <t>TC_REG_046</t>
  </si>
  <si>
    <t>TC_REG_047</t>
  </si>
  <si>
    <t>TC_REG_048</t>
  </si>
  <si>
    <t>TC_REG_049</t>
  </si>
  <si>
    <t>TC_REG_050</t>
  </si>
  <si>
    <t>TC_REG_051</t>
  </si>
  <si>
    <t>Mengisi field nama dengan angka</t>
  </si>
  <si>
    <t>Mengisi field nama dengan simbol</t>
  </si>
  <si>
    <t>Menginput field nama dengan kombinasi huruf dan angka</t>
  </si>
  <si>
    <t>Menginput field nama dengan spasi diawal atau akhir</t>
  </si>
  <si>
    <t>Menginput field nama dengan dengan tanda hubung</t>
  </si>
  <si>
    <t>1. User berada pada halaman registrasi
2. Data valid tersedia untuk seluruh field</t>
  </si>
  <si>
    <t>1. Masuk ke halaman web
2. Masuk ke form sign in
3. Klik link menuju registrasi
4. Isi semua field dengan data valid, kecuali field First name
5. Klik tombol registrasi</t>
  </si>
  <si>
    <t>1. Masuk ke halaman web
2. Masuk ke form sign in
3. Klik link menuju registrasi
4. Isi semua field dengan data valid, kecuali field Last name
5. Klik tombol registrasi</t>
  </si>
  <si>
    <t>1. Masuk ke halaman web
2. Masuk ke form sign in
3. Klik link menuju registrasi
4. Isi semua field dengan data valid, kecuali field Date of Birth
5. Klik tombol registrasi</t>
  </si>
  <si>
    <t>1. Masuk ke halaman web
2. Masuk ke form sign in
3. Klik link menuju registrasi
4. Isi semua field dengan data valid, kecuali field Country
5. Klik tombol registrasi</t>
  </si>
  <si>
    <t>1. Masuk ke halaman web
2. Masuk ke form sign in
3. Klik link menuju registrasi
4. Isi semua field dengan data valid, kecuali field Postal Code
5. Klik tombol registrasi</t>
  </si>
  <si>
    <t>1. Masuk ke halaman web
2. Masuk ke form sign in
3. Klik link menuju registrasi
4. Isi semua field dengan data valid, kecuali field House number
5. Klik tombol registrasi</t>
  </si>
  <si>
    <t>1. Masuk ke halaman web
2. Masuk ke form sign in
3. Klik link menuju registrasi
4. Isi semua field dengan data valid, kecuali field Street
5. Klik tombol registrasi</t>
  </si>
  <si>
    <t>1. Masuk ke halaman web
2. Masuk ke form sign in
3. Klik link menuju registrasi
4. Isi semua field dengan data valid, kecuali field City
5. Klik tombol registrasi</t>
  </si>
  <si>
    <t>1. Masuk ke halaman web
2. Masuk ke form sign in
3. Klik link menuju registrasi
4. Isi semua field dengan data valid, kecuali field State
5. Klik tombol registrasi</t>
  </si>
  <si>
    <t>1. Masuk ke halaman web
2. Masuk ke form sign in
3. Klik link menuju registrasi
4. Isi semua field dengan data valid, kecuali field Phone
5. Klik tombol registrasi</t>
  </si>
  <si>
    <t>1. Masuk ke halaman web
2. Masuk ke form sign in
3. Klik link menuju registrasi
4. Isi semua field dengan data valid, kecuali field Email
5. Klik tombol registrasi</t>
  </si>
  <si>
    <t>1. Masuk ke halaman web
2. Masuk ke form sign in
3. Klik link menuju registrasi
4. Isi semua field dengan data valid, kecuali field Password
5. Klik tombol registrasi</t>
  </si>
  <si>
    <t>1. Masuk ke halaman web
2. Masuk ke form sign in
3. Klik link menuju registrasi
4. Isi semua field dengan data valid, kecuali field First dan Last name
5. Klik tombol registrasi</t>
  </si>
  <si>
    <t>1. Masuk ke halaman web
2. Masuk ke form sign in
3. Klik link menuju registrasi
4. Isi semua field dengan data valid, kecuali field Email dan Password
5. Klik tombol registrasi</t>
  </si>
  <si>
    <t>1. Masuk ke halaman web
2. Masuk ke form sign in
3. Klik link menuju registrasi
4. Isi semua field dengan data valid, kecuali field name
5. Isi field nama dengan angka
6. Klik tombol registrasi</t>
  </si>
  <si>
    <t>1. Masuk ke halaman web
2. Masuk ke form sign in
3. Klik link menuju registrasi
4. Isi semua field dengan data valid, kecuali field name
5. Isi field nama dengan simbol
6. Klik tombol registrasi</t>
  </si>
  <si>
    <t>1. Masuk ke halaman web
2. Masuk ke form sign in
3. Klik link menuju registrasi
4. Isi semua field dengan data valid, kecuali field name
5. Isi field nama dengan kombinasi huruf dan angka
6. Klik tombol registrasi</t>
  </si>
  <si>
    <t>1. Masuk ke halaman web
2. Masuk ke form sign in
3. Klik link menuju registrasi
4. Isi semua field dengan data valid, kecuali field name
5. Isi field nama dengan spasi diawal atau akhir
6. Klik tombol registrasi</t>
  </si>
  <si>
    <t>1. Masuk ke halaman web
2. Masuk ke form sign in
3. Klik link menuju registrasi
4. Isi semua field dengan data valid, kecuali field name
5. Isi field nama dengan kombinasi tanda hubung
6. Klik tombol registrasi</t>
  </si>
  <si>
    <t>1. Masuk ke halaman web
2. Masuk ke form sign in
3. Klik link menuju registrasi
4. Isi semua field dengan data valid, kecuali field Date of Birth
5. Isi field Date of Birth dengan tanggal dimasa mendatang
6. Klik tombol registrasi</t>
  </si>
  <si>
    <t>1. Masuk ke halaman web
2. Masuk ke form sign in
3. Klik link menuju registrasi
4. Isi semua field dengan data valid, kecuali field Date of Birth
5. Isi field Date of Birth dengan tanggal yang setara dengan umur 17 tahun
6. Klik tombol registrasi</t>
  </si>
  <si>
    <t>1. Masuk ke halaman web
2. Masuk ke form sign in
3. Klik link menuju registrasi
4. Isi semua field dengan data valid, kecuali field Date of Birth
5. Isi field Date of Birth dengan tanggal yang setara dengan umur 18 tahun
6. Klik tombol registrasi</t>
  </si>
  <si>
    <t>1. Masuk ke halaman web
2. Masuk ke form sign in
3. Klik link menuju registrasi
4. Isi semua field dengan data valid, kecuali field Date of Birth
5. Isi field Date of Birth dengan tanggal yang setara dengan umur 75 tahun
6. Klik tombol registrasi</t>
  </si>
  <si>
    <t>1. Masuk ke halaman web
2. Masuk ke form sign in
3. Klik link menuju registrasi
4. Isi semua field dengan data valid, kecuali field Date of Birth
5. Isi field Date of Birth dengan tanggal yang setara dengan umur 76 tahun
6. Klik tombol registrasi</t>
  </si>
  <si>
    <t>1. Masuk ke halaman web
2. Masuk ke form sign in
3. Klik link menuju registrasi
4. Isi semua field dengan data valid, kecuali field Date of Birth
5. Isi field Date of Birth dengan format YYYY/MM/DD
6. Klik tombol registrasi</t>
  </si>
  <si>
    <t>1. Masuk ke halaman web
2. Masuk ke form sign in
3. Klik link menuju registrasi
4. Isi semua field dengan data valid
5. Pastikan field alamat lain terisi secara otomatis ketika field Country, Postal code, dan House number terisi
6. Klik tombol registrasi</t>
  </si>
  <si>
    <t>1. Masuk ke halaman web
2. Masuk ke form sign in
3. Klik link menuju registrasi
4. Isi semua field dengan data valid
5. Pastikan field alamat lain terisi secara otomatis ketika field Country, Postal code, dan House number terisi
6. Ubah isi field alamat dengan data lain
7. Klik tombol registrasi</t>
  </si>
  <si>
    <t>1. Masuk ke halaman web
2. Masuk ke form sign in
3. Klik link menuju registrasi
4. Isi semua field dengan data valid
5. Pastikan field alamat lain terisi secara otomatis ketika field Country, Postal code, dan House number terisi
6. Ubah isi field Country dengan data lain
7. Pastikan field alamat berubah
8. Klik tombol registrasi</t>
  </si>
  <si>
    <t>1. Masuk ke halaman web
2. Masuk ke form sign in
3. Klik link menuju registrasi
4. Isi semua field dengan data valid, kecuali field Phone
5. Isi field Phone dengan huruf
6. Klik tombol registrasi</t>
  </si>
  <si>
    <t>1. Masuk ke halaman web
2. Masuk ke form sign in
3. Klik link menuju registrasi
4. Isi semua field dengan data valid, kecuali field Phone
5. Isi field Phone dengan simbol
6. Klik tombol registrasi</t>
  </si>
  <si>
    <t>1. Masuk ke halaman web
2. Masuk ke form sign in
3. Klik link menuju registrasi
4. Isi semua field dengan data valid, kecuali field Email
5. Isi field Email dengan Email yang belum teregistrasi
6. Klik tombol registrasi</t>
  </si>
  <si>
    <t>1. Masuk ke halaman web
2. Masuk ke form sign in
3. Klik link menuju registrasi
4. Isi semua field dengan data valid, kecuali field Email
5. Isi field Email dengan Email yang telah teregistrasi
6. Klik tombol registrasi</t>
  </si>
  <si>
    <t>1. Masuk ke halaman web
2. Masuk ke form sign in
3. Klik link menuju registrasi
4. Isi semua field dengan data valid, kecuali field Email
5. Isi field Email dengan invalid format email
6. Klik tombol registrasi</t>
  </si>
  <si>
    <t>1. Masuk ke halaman web
2. Masuk ke form sign in
3. Klik link menuju registrasi
4. Isi semua field dengan data valid, kecuali field Password
5. Isi field Password dengan panjang 7 karakter
6. Klik tombol registrasi</t>
  </si>
  <si>
    <t>1. Masuk ke halaman web
2. Masuk ke form sign in
3. Klik link menuju registrasi
4. Isi semua field dengan data valid, kecuali field Password
5. Isi field Password dengan panjang 8 karakter
6. Klik tombol registrasi</t>
  </si>
  <si>
    <t>1. Masuk ke halaman web
2. Masuk ke form sign in
3. Klik link menuju registrasi
4. Isi semua field dengan data valid, kecuali field Password
5. Isi field Password dengan panjang 9 karakter
6. Klik tombol registrasi</t>
  </si>
  <si>
    <t>1. Masuk ke halaman web
2. Masuk ke form sign in
3. Klik link menuju registrasi
4. Isi semua field dengan data valid, kecuali field Password
5. Isi field Password hanya dengan huruf
6. Klik tombol registrasi</t>
  </si>
  <si>
    <t>1. Masuk ke halaman web
2. Masuk ke form sign in
3. Klik link menuju registrasi
4. Isi semua field dengan data valid, kecuali field Password
5. Isi field Password tanpa huruf besar
6. Klik tombol registrasi</t>
  </si>
  <si>
    <t>1. Masuk ke halaman web
2. Masuk ke form sign in
3. Klik link menuju registrasi
4. Isi semua field dengan data valid, kecuali field Password
5. Isi field Password tanpa huruf kecil
6. Klik tombol registrasi</t>
  </si>
  <si>
    <t>1. Masuk ke halaman web
2. Masuk ke form sign in
3. Klik link menuju registrasi
4. Isi semua field dengan data valid, kecuali field Password
5. Isi field Password hanya dengan angka
6. Klik tombol registrasi</t>
  </si>
  <si>
    <t>1. Masuk ke halaman web
2. Masuk ke form sign in
3. Klik link menuju registrasi
4. Isi semua field dengan data valid, kecuali field Password
5. Isi field Password tanpa angka
6. Klik tombol registrasi</t>
  </si>
  <si>
    <t>1. Masuk ke halaman web
2. Masuk ke form sign in
3. Klik link menuju registrasi
4. Isi semua field dengan data valid, kecuali field Password
5. Isi field Password hanya dengan simbol
6. Klik tombol registrasi</t>
  </si>
  <si>
    <t>1. Masuk ke halaman web
2. Masuk ke form sign in
3. Klik link menuju registrasi
4. Isi semua field dengan data valid, kecuali field Password
5. Isi field Password tanpa simbol
6. Klik tombol registrasi</t>
  </si>
  <si>
    <t>1. Masuk ke halaman web
2. Masuk ke form sign in
3. Klik link menuju registrasi
4. Isi semua field dengan data valid, kecuali field Password
5. Isi field Password dengan password yang belum pernah digunakan
6. Klik tombol registrasi</t>
  </si>
  <si>
    <t>1. Masuk ke halaman web
2. Masuk ke form sign in
3. Klik link menuju registrasi
4. Isi semua field dengan data valid, kecuali field Password
5. Isi field Password dengan password yang sudah pernah digunakan
6. Klik tombol registrasi</t>
  </si>
  <si>
    <t>1. Masuk ke halaman web
2. Masuk ke form sign in
3. Klik link menuju registrasi
4. Isi semua field dengan data valid, kecuali field Password
5. Isi field Password sama dengan confirm password
6. Klik tombol registrasi</t>
  </si>
  <si>
    <t>First name: yuyaa
Last name: testing
Date of Birth: 2000-04-21
Country: Indonesia
Postal Code: 22543
House Number: 12
Street: Otomatis dari sistem
City: Otomatis dari sistem
State: Otomatis dari sistem
Phone: 081234564321
Email: customertester1@gmail.com
Password: Customer@41</t>
  </si>
  <si>
    <t>Field First name: (Kosong)
*Field lainnya menggunakan data valid</t>
  </si>
  <si>
    <t>Field Last name: (Kosong)
*Field lainnya menggunakan data valid</t>
  </si>
  <si>
    <t>Field Date of Birth: (Kosong)
*Field lainnya menggunakan data valid</t>
  </si>
  <si>
    <t>Field Country: (Kosong)
*Field lainnya menggunakan data valid</t>
  </si>
  <si>
    <t>Field Postal code: (Kosong)
*Field lainnya menggunakan data valid</t>
  </si>
  <si>
    <t>Field House number (Kosong)
*Field lainnya menggunakan data valid</t>
  </si>
  <si>
    <t>Field Street: (Kosong)
*Field lainnya menggunakan data valid</t>
  </si>
  <si>
    <t>Field City: (Kosong)
*Field lainnya menggunakan data valid</t>
  </si>
  <si>
    <t>Field State: (Kosong)
*Field lainnya menggunakan data valid</t>
  </si>
  <si>
    <t>Field Phone: (Kosong)
*Field lainnya menggunakan data valid</t>
  </si>
  <si>
    <t>Field Email: (Kosong)
*Field lainnya menggunakan data valid</t>
  </si>
  <si>
    <t>Field Password: (Kosong)
*Field lainnya menggunakan data valid</t>
  </si>
  <si>
    <t>Field First name dan Last name: (Kosong)
*Field lainnya menggunakan data valid</t>
  </si>
  <si>
    <t>Field Email dan Password: (Kosong)
*Field lainnya menggunakan data valid</t>
  </si>
  <si>
    <t>Field First name: 1111
Field Last name: 2222
*Field lainnya menggunakan data valid</t>
  </si>
  <si>
    <t>Field First name: @&amp;!%@^
Field Last name: !&amp;@%&amp;!*
*Field lainnya menggunakan data valid</t>
  </si>
  <si>
    <t>Field First name: yuyaa21
Field Last name: testing33
*Field lainnya menggunakan data valid</t>
  </si>
  <si>
    <t>Field First name: yuyaa
Field Last name: testing
*Field lainnya menggunakan data valid</t>
  </si>
  <si>
    <t>Field First name: yuyaa-
Field Last name: testing
*Field lainnya menggunakan data valid</t>
  </si>
  <si>
    <t>Field Date of Birth: 2027-08-10
*Field lainnya menggunakan data valid</t>
  </si>
  <si>
    <t>Field Date of Birth: 2009-03-10
*Field lainnya menggunakan data valid</t>
  </si>
  <si>
    <t>Field Date of Birth: 2008-03-10
*Field lainnya menggunakan data valid</t>
  </si>
  <si>
    <t>Field Date of Birth: 1951-03-10
*Field lainnya menggunakan data valid</t>
  </si>
  <si>
    <t>Field Date of Birth: 1950-03-10
*Field lainnya menggunakan data valid</t>
  </si>
  <si>
    <t>Field Country: Indonesia
Field Postal code: 22543
Field House number: 12
*Field lainnya menggunakan data valid</t>
  </si>
  <si>
    <t>Field Country: Indonesia -&gt; Jepang
*Field lainnya menggunakan data valid</t>
  </si>
  <si>
    <t>Field Phone: kosongdelapansatu
*Field lainnya menggunakan data valid</t>
  </si>
  <si>
    <t>Field Phone: @^#%&amp;!&amp;%@%!
*Field lainnya menggunakan data valid</t>
  </si>
  <si>
    <t>Field Email: tester1@gmail.com (belum teregistrasi)
*Field lainnya menggunakan data valid</t>
  </si>
  <si>
    <t>Field Email: customer@practicesoftwaretesting.com (sudah teregistrasi)
*Field lainnya menggunakan data valid</t>
  </si>
  <si>
    <t>Field Email: customer@practice@softwaretesting.com
*Field lainnya menggunakan data valid</t>
  </si>
  <si>
    <t>Field Password: Test@12
*Field lainnya menggunakan data valid</t>
  </si>
  <si>
    <t>Field Password: Tests@12
*Field lainnya menggunakan data valid</t>
  </si>
  <si>
    <t>Field Password: Tester@12
*Field lainnya menggunakan data valid</t>
  </si>
  <si>
    <t>Field Password: IniPassword
*Field lainnya menggunakan data valid</t>
  </si>
  <si>
    <t>Field Password: inipassword@12
*Field lainnya menggunakan data valid</t>
  </si>
  <si>
    <t>Field Password: INIPASSWORD@12
*Field lainnya menggunakan data valid</t>
  </si>
  <si>
    <t>Field Password: 1234567891
*Field lainnya menggunakan data valid</t>
  </si>
  <si>
    <t>Field Password: IniPassword@&amp;
*Field lainnya menggunakan data valid</t>
  </si>
  <si>
    <t>Field Password: @&amp;&amp;^@&amp;!*@
*Field lainnya menggunakan data valid</t>
  </si>
  <si>
    <t>Field Password: IniPassword123
*Field lainnya menggunakan data valid</t>
  </si>
  <si>
    <t>Field Password: PasswordBaru@123
*Field lainnya menggunakan data valid</t>
  </si>
  <si>
    <t>Field Password: Customer@41
*Field lainnya menggunakan data valid</t>
  </si>
  <si>
    <t>Field Password: CustomerPassword@41
*Field lainnya menggunakan data valid</t>
  </si>
  <si>
    <t>Sistem menolak proses registrasi dan menampilkan pesan validasi bahwa First name wajib diisi</t>
  </si>
  <si>
    <t>Sistem menolak proses registrasi dan menampilkan pesan validasi bahwa Last name wajib diisi</t>
  </si>
  <si>
    <t>Sistem menolak proses registrasi dan menampilkan pesan validasi bahwa Date of Birth wajib diisi</t>
  </si>
  <si>
    <t>Sistem menolak proses registrasi dan menampilkan pesan validasi bahwa Country wajib diisi</t>
  </si>
  <si>
    <t>Sistem menolak proses registrasi dan menampilkan pesan validasi bahwa Postal code wajib diisi</t>
  </si>
  <si>
    <t>Sistem menolak registasi dan menampilkan pesan validasi bahwa tiap field wajib diisi</t>
  </si>
  <si>
    <t>Field Date of Birth: 2005/03/10
*Field lainnya menggunakan data valid</t>
  </si>
  <si>
    <t>Sistem menolak proses registrasi dan menampilkan pesan validasi bahwa House number wajib diisi</t>
  </si>
  <si>
    <t>Sistem menolak proses registrasi dan menampilkan pesan validasi bahwa Street wajib diisi</t>
  </si>
  <si>
    <t>Sistem menolak proses registrasi dan menampilkan pesan validasi bahwa City wajib diisi</t>
  </si>
  <si>
    <t>Sistem menolak proses registrasi dan menampilkan pesan validasi bahwa State wajib diisi</t>
  </si>
  <si>
    <t>Sistem menolak proses registrasi dan menampilkan pesan validasi bahwa Phone wajib diisi</t>
  </si>
  <si>
    <t>Sistem menolak proses registrasi dan menampilkan pesan validasi bahwa Email wajib diisi</t>
  </si>
  <si>
    <t>Sistem menolak proses registrasi dan menampilkan pesan validasi bahwa Password wajib diisi</t>
  </si>
  <si>
    <t>Sistem menolak proses registrasi dan menampilkan pesan validasi bahwa field First name dan Last name wajib diisi</t>
  </si>
  <si>
    <t>Sistem menolak proses registrasi dan menampilkan pesan validasi bahwa fieldEmail dan Password  wajib diisi</t>
  </si>
  <si>
    <t>Sistem menerima input pada field nama dan user berhasil melakukan registrasi</t>
  </si>
  <si>
    <t>Sistem menerima input data, user berhasil melakukan registrasi dan diarahkan menuju form sign in</t>
  </si>
  <si>
    <t>Sistem menolak input data dan menampilkan pesan validasi bahwa umur user harus diantara 18 - 75 tahun</t>
  </si>
  <si>
    <t>Sistem menolak input data dan menampilkan pesan validasi bahwa format Date of Birth invalid</t>
  </si>
  <si>
    <t>Sistem menerima input data dan field alamat terisi secara otomatis</t>
  </si>
  <si>
    <t>Sistem menolak input data dan menampilkan pesan validasi bahwa field phone harus diisi dengan angka</t>
  </si>
  <si>
    <t>Sistem menolak input data dan menampilkan pesan validasi bahwa email harus diisi dengan valid format email</t>
  </si>
  <si>
    <t>Sistem menolak input data dan menampilkan pesan validasi bahwa panjang password minimal 8 karakter</t>
  </si>
  <si>
    <t>Sistem menolak input data dan menampilkan pesan validasi bahwa password harus mengandung huruf besar</t>
  </si>
  <si>
    <t>Sistem menolak input data dan menampilkan pesan validasi bahwa password harus mengandung huruf kecil</t>
  </si>
  <si>
    <t>Sistem menolak input data dan menampilkan pesan validasi bahwa password harus mengandung huruf kecil, huruf besar, dan simbol spesial</t>
  </si>
  <si>
    <t>Sistem menolak input data dan menampilkan pesan validasi bahwa password harus mengandung angka</t>
  </si>
  <si>
    <t>Sistem menolak input data dan menampilkan pesan validasi bahwa password harus mengandung angka, huruf besar, dan huruf kecil</t>
  </si>
  <si>
    <t>Sistem menolak input data dan menampilkan pesan validasi bahwa password harus mengandung setidaknya satu simbol spesial</t>
  </si>
  <si>
    <t>Sistem menolak input data dan menampilkan pesan validasi bahwa password sudah pernah digunakan</t>
  </si>
  <si>
    <t>Sistem menerima input data, user berhasil melakukan proses registrasi, dan diarahkan menuju form sign in</t>
  </si>
  <si>
    <t>Sistem menolak proses registrasi dan menampilkan pesan validasi bahwa tiap foeld wajib diisi</t>
  </si>
  <si>
    <t>Sistem menolak proses registrasi dan menampilkan pesan validasi "First name is required"</t>
  </si>
  <si>
    <t>Sistem menolak proses registrasi dan menampilkan pesan validasi "Last name is required"</t>
  </si>
  <si>
    <t>Sistem menolak proses registrasi dan menampilkan pesan validasi "Please enter a valid date in YYYY-MM-DD format.
Date of Birth is required"</t>
  </si>
  <si>
    <t>Sistem menolak proses registrasi dan menampilkan pesan validasi "Country is required"</t>
  </si>
  <si>
    <t>Sistem menolak proses registrasi dan menampilkan pesan validasi "Postcode is required"</t>
  </si>
  <si>
    <t>Sistem menolak proses registrasi dan menampilkan pesan validasi "House number is required"</t>
  </si>
  <si>
    <t>Sistem menolak proses registrasi dan menampilkan pesan validasi "Street is required"</t>
  </si>
  <si>
    <t>Sistem menolak proses registrasi dan menampilkan pesan validasi "City is required"</t>
  </si>
  <si>
    <t>Sistem menolak proses registrasi dan menampilkan pesan validasi "State is required"</t>
  </si>
  <si>
    <t>Sistem menolak proses registrasi dan menampilkan pesan validasi "Phone is required"</t>
  </si>
  <si>
    <t>Sistem menolak proses registrasi dan menampilkan pesan validasi "Email is required"</t>
  </si>
  <si>
    <t>Sistem menolak proses registrasi dan menampilkan 3 pesan validasi:
- "Password is required"
- "Password must be minimal 6 characters long"
- "Password can not include invalid characters"</t>
  </si>
  <si>
    <t>Note:
Pada test case TC_REG_004,  hasil dapat menjadi Pass atau pun Fail berdasarkan interpretasinya. Dapat bernilai PASS jika hanya memastikan registrasi ditolak ketika password kosong. Dan bernilai FAIL jika requirement atau UX mengharapkan hanya satu pesan validasi, misal hanya "Password is required".</t>
  </si>
  <si>
    <t>Sistem menolak proses registrasi dan menampilkan pesan validasi pada field First name "First name is required" dan pada field Last name "Last name is required"</t>
  </si>
  <si>
    <t>Sistem menolak proses registrasi dan menampilkan pesan validasi pada field Email "Email is required" dan pada field Password "Password is required"</t>
  </si>
  <si>
    <t>Field Name:</t>
  </si>
  <si>
    <t>Batas untuk field First name adalah 40 dan Last name adalah 20</t>
  </si>
  <si>
    <t>Hasil Exploratory</t>
  </si>
  <si>
    <t>TC_REG_052</t>
  </si>
  <si>
    <t>TC_REG_053</t>
  </si>
  <si>
    <t>TC_REG_054</t>
  </si>
  <si>
    <t>TC_REG_055</t>
  </si>
  <si>
    <t>TC_REG_056</t>
  </si>
  <si>
    <t>Menginput field First name dengan panjang 39 karakter</t>
  </si>
  <si>
    <t>Menginput field First name dengan panjang 40 karakter</t>
  </si>
  <si>
    <t>Menginput field First name dengan panjang 41 karakter</t>
  </si>
  <si>
    <t>Menginput field Last name dengan panjang 19 karakter</t>
  </si>
  <si>
    <t>Menginput field Last name dengan panjang 20 karakter</t>
  </si>
  <si>
    <t>Menginput field Last name dengan panjang 21 karakter</t>
  </si>
  <si>
    <t>Field First name: NAMAAAAAAAAAAAAAAAAAAAAAAAAAAAAAAAAAAAA
*Field lainnya menggunakan data valid</t>
  </si>
  <si>
    <t>Field First name: NAMAAAAAAAAAAAAAAAAAAAAAAAAAAAAAAAAAAAAA
*Field lainnya menggunakan data valid</t>
  </si>
  <si>
    <t>Field First name: NAMAAAAAAAAAAAAAAAAAAAAAAAAAAAAAAAAAAAAAA
*Field lainnya menggunakan data valid</t>
  </si>
  <si>
    <t>1. Masuk ke halaman web
2. Masuk ke form sign in
3. Klik link menuju registrasi
4. Isi semua field dengan data valid, kecuali field First name
5. Isi field First name dengan panjang 39 karakter
6. Klik tombol registrasi</t>
  </si>
  <si>
    <t>1. Masuk ke halaman web
2. Masuk ke form sign in
3. Klik link menuju registrasi
4. Isi semua field dengan data valid, kecuali field First name
5. Isi field First name dengan panjang 40 karakter
6. Klik tombol registrasi</t>
  </si>
  <si>
    <t>1. Masuk ke halaman web
2. Masuk ke form sign in
3. Klik link menuju registrasi
4. Isi semua field dengan data valid, kecuali field First name
5. Isi field First name dengan panjang 41 karakter
6. Klik tombol registrasi</t>
  </si>
  <si>
    <t>1. Masuk ke halaman web
2. Masuk ke form sign in
3. Klik link menuju registrasi
4. Isi semua field dengan data valid, kecuali field Last name
5. Isi field Last name dengan panjang 19 karakter
6. Klik tombol registrasi</t>
  </si>
  <si>
    <t>1. Masuk ke halaman web
2. Masuk ke form sign in
3. Klik link menuju registrasi
4. Isi semua field dengan data valid, kecuali field Last name
5. Isi field Last name dengan panjang 20 karakter
6. Klik tombol registrasi</t>
  </si>
  <si>
    <t>1. Masuk ke halaman web
2. Masuk ke form sign in
3. Klik link menuju registrasi
4. Isi semua field dengan data valid, kecuali field Last name
5. Isi field Last name dengan panjang 21 karakter
6. Klik tombol registrasi</t>
  </si>
  <si>
    <t>Field First name: AAAAAAAAAAAAAAAAAAA
*Field lainnya menggunakan data valid</t>
  </si>
  <si>
    <t>Field First name: AAAAAAAAAAAAAAAAAAAA
*Field lainnya menggunakan data valid</t>
  </si>
  <si>
    <t>Sistem menolak input data dan menampilkan pesan validasi bahwa panjang Last name tidak boleh melebihi 20 karakter</t>
  </si>
  <si>
    <t>Sistem menolak input data dan menampilkan pesan validasi bahwa panjang First name tidak boleh melebihi 40 karakter</t>
  </si>
  <si>
    <t>Sistem menolak inpu data dan menampilkan pesan validasi "The first name field must not be greater than 40 characters"</t>
  </si>
  <si>
    <t>Field First name: AAAAAAAAAAAAAAAAAAAAA
*Field lainnya menggunakan data valid</t>
  </si>
  <si>
    <t>Sistem menolak input data dan menammpilkan pesan validasi "The last name field must not be greater than 20 characters"</t>
  </si>
  <si>
    <t>Sistem menolak input data dan menampilkan pesan validasi "Customer must be 18 years old"</t>
  </si>
  <si>
    <t>Sistem menolak input data dan menampilkan pesan validasi bahwa umur user harus diantara lebih dari 18 tahun</t>
  </si>
  <si>
    <t>Sistem menolak input data dan menampilkan pesan validasi bahwa umur user tidak boleh melebihi 75 tahun</t>
  </si>
  <si>
    <t>Sistem menolak input data dan menampilkan pesan validasi "Please enter a valid date in YYYY-MM-DD format"</t>
  </si>
  <si>
    <t>Semua field alamat terisi secara otomatis</t>
  </si>
  <si>
    <t>Field Street: (otomatis dari sistem) -&gt; Ambarawa
Field City: (otomatis dari sistem) -&gt; Malang
Field State: (otomatis dari sistem) -&gt; Jawa Timur
*Field lainnya menggunakan data valid</t>
  </si>
  <si>
    <t>Sistem menerima input dan isi dari field terganti</t>
  </si>
  <si>
    <t>Sistem menerima input data pada field alamat</t>
  </si>
  <si>
    <t>Sistem menolak input data dan menampilkan pesan validasi "Only numbers are allowed"</t>
  </si>
  <si>
    <t>Sistem menampilkan alamat yang didapatkan dari sistem secara otomatis</t>
  </si>
  <si>
    <t>Sistem menolak input data dan menampilkan pesan validasi bahwa email sudah pernah digunakan</t>
  </si>
  <si>
    <t>Sistem menolak input data dan menampilkan pesan validasi "A customer with this email address already exists"</t>
  </si>
  <si>
    <t>Sistem menolak inpu data dan menampilkan pesan validasi "Email format is invalid"</t>
  </si>
  <si>
    <t>Sistem menolak input data dan menampilkan pesan validasi "Password must be minimal 6 characters long"</t>
  </si>
  <si>
    <t>Sistem menolak input data dan menampilkan pesan validasi bahwa password harus mengandung setidaknya 1 angka dan 1 simbol spesial</t>
  </si>
  <si>
    <t>TC_REG_057</t>
  </si>
  <si>
    <t>Mengisi field Phone dengan panjang 23 digit</t>
  </si>
  <si>
    <t>Mengisi field Phone dengan panjang 24 digit</t>
  </si>
  <si>
    <t>Mengisi field Phone dengan panjang 25 digit</t>
  </si>
  <si>
    <t>1. Masuk ke halaman web
2. Masuk ke form sign in
3. Klik link menuju registrasi
4. Isi semua field dengan data valid, kecuali field Phone
5. Isi field Phone panjang 23 digit
6. Klik tombol registrasi</t>
  </si>
  <si>
    <t>Field Phone: 12345678901234567890123
*Field lainnya menggunakan data valid</t>
  </si>
  <si>
    <t>Sistem menolak input data dan menampilkan pesan validasi bahwa field Phone tidak boleh lebih dari 24 karakter</t>
  </si>
  <si>
    <t>Field Phone: 123456789012345678901234
*Field lainnya menggunakan data valid</t>
  </si>
  <si>
    <t>Field Phone: 1234567890123456789012345
*Field lainnya menggunakan data valid</t>
  </si>
  <si>
    <t>Sistem menolak input data dan menampilkan pesan validasi "The phone field must not be greater than 24 characters"</t>
  </si>
  <si>
    <t>Sistem menolak input data dan menampilkan pesan validasi "Password can not include invalid characters"</t>
  </si>
  <si>
    <t>Form registrasi tidak memiliki fiel confirm password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</si>
</sst>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8"/>
      <color theme="3"/>
      <name val="Aptos Display"/>
      <family val="2"/>
      <scheme val="major"/>
    </font>
    <font>
      <sz val="8"/>
      <name val="Aptos Narrow"/>
      <family val="2"/>
      <scheme val="minor"/>
    </font>
    <font>
      <b/>
      <sz val="11"/>
      <color theme="1"/>
      <name val="Aptos Narrow"/>
      <family val="2"/>
      <scheme val="minor"/>
    </font>
    <font>
      <b/>
      <sz val="18"/>
      <color theme="3"/>
      <name val="Aptos Display"/>
      <family val="2"/>
      <scheme val="maj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0" fillId="0" borderId="0" xfId="0" applyAlignment="1">
      <alignment vertical="center" wrapText="1"/>
    </xf>
    <xf numFmtId="0" fontId="3" fillId="0" borderId="0" xfId="0" applyFont="1" applyAlignment="1">
      <alignment horizontal="center" vertical="center" wrapText="1"/>
    </xf>
    <xf numFmtId="0" fontId="4" fillId="0" borderId="0" xfId="1" applyFont="1"/>
    <xf numFmtId="0" fontId="3" fillId="0" borderId="0" xfId="0" applyFont="1"/>
    <xf numFmtId="0" fontId="0" fillId="0" borderId="0" xfId="0" applyAlignment="1">
      <alignment horizontal="left"/>
    </xf>
  </cellXfs>
  <cellStyles count="2">
    <cellStyle name="Normal" xfId="0" builtinId="0"/>
    <cellStyle name="Title" xfId="1" builtinId="15"/>
  </cellStyles>
  <dxfs count="18">
    <dxf>
      <fill>
        <patternFill>
          <bgColor rgb="FF15DF0B"/>
        </patternFill>
      </fill>
    </dxf>
    <dxf>
      <fill>
        <patternFill>
          <bgColor rgb="FFFF4A37"/>
        </patternFill>
      </fill>
    </dxf>
    <dxf>
      <fill>
        <patternFill>
          <bgColor rgb="FF15DF0B"/>
        </patternFill>
      </fill>
    </dxf>
    <dxf>
      <fill>
        <patternFill>
          <bgColor rgb="FFFF4A37"/>
        </patternFill>
      </fill>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left" vertical="bottom" textRotation="0" wrapText="0" indent="0" justifyLastLine="0" shrinkToFit="0" readingOrder="0"/>
    </dxf>
  </dxfs>
  <tableStyles count="0" defaultTableStyle="TableStyleMedium2" defaultPivotStyle="PivotStyleLight16"/>
  <colors>
    <mruColors>
      <color rgb="FFFF4A37"/>
      <color rgb="FF15DF0B"/>
      <color rgb="FFFF292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05D3A0-FDED-4771-9909-013818D3A66A}" name="Table2" displayName="Table2" ref="A3:C9" totalsRowShown="0">
  <autoFilter ref="A3:C9" xr:uid="{8805D3A0-FDED-4771-9909-013818D3A66A}"/>
  <tableColumns count="3">
    <tableColumn id="3" xr3:uid="{CCBF4BAD-7A47-4E64-A33C-10EB349C351E}" name="Column1"/>
    <tableColumn id="1" xr3:uid="{577634A3-7EA6-4D6A-A0F3-B2E6B3CA18DA}" name="AC_ID"/>
    <tableColumn id="2" xr3:uid="{A88AD446-0555-4F57-A883-82A8FAE740F0}" name="Acceptance Criteria"/>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80ADF9C-15E8-46ED-9AC3-0E1DA28D7AFA}" name="Table3" displayName="Table3" ref="A3:L60" totalsRowShown="0" headerRowDxfId="17" dataDxfId="16">
  <autoFilter ref="A3:L60" xr:uid="{280ADF9C-15E8-46ED-9AC3-0E1DA28D7AFA}"/>
  <tableColumns count="12">
    <tableColumn id="1" xr3:uid="{2961E5F0-50D5-456A-966B-3296F1DE5F27}" name="No" dataDxfId="15"/>
    <tableColumn id="2" xr3:uid="{405819EF-CA2E-4FD8-BA13-2235D9ED1DAD}" name="Test Case ID" dataDxfId="14"/>
    <tableColumn id="3" xr3:uid="{1564669D-18D9-4642-B9B7-3EC5553573CF}" name="Test Case" dataDxfId="13"/>
    <tableColumn id="4" xr3:uid="{4A190C8C-C094-4C48-AA6E-98E8EFC4B1A0}" name="Pre-Conditions" dataDxfId="12"/>
    <tableColumn id="5" xr3:uid="{C6683DEA-5756-400B-8CA2-E2EDE1F731DE}" name="Test Steps" dataDxfId="11"/>
    <tableColumn id="6" xr3:uid="{A5C8FC0E-6FEB-4A01-9F73-4C2FF9C03534}" name="Test Data" dataDxfId="10"/>
    <tableColumn id="7" xr3:uid="{7C519673-CEC3-42BF-B787-00204C720E44}" name="Expected Result" dataDxfId="9"/>
    <tableColumn id="8" xr3:uid="{BDC6C98E-7F98-48CB-B54D-27580EC4D707}" name="Actual Result" dataDxfId="8"/>
    <tableColumn id="9" xr3:uid="{762C8823-2514-4292-8FB1-BF2A3C22FFFA}" name="Status" dataDxfId="7"/>
    <tableColumn id="12" xr3:uid="{A21FB4B7-4C6E-4B24-A6D3-AA02D1038E77}" name="AC References" dataDxfId="6"/>
    <tableColumn id="10" xr3:uid="{7BE6C741-7928-4331-ABE0-AA3A8DF91BE9}" name="Severity" dataDxfId="5"/>
    <tableColumn id="11" xr3:uid="{9FE0EA18-785F-4A85-9D1F-CECC4677CB09}" name="Priority" dataDxfId="4"/>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E50C2-6104-4A80-8524-967FEE4AD08E}">
  <dimension ref="A1:C14"/>
  <sheetViews>
    <sheetView showGridLines="0" workbookViewId="0">
      <selection activeCell="A16" sqref="A16"/>
    </sheetView>
  </sheetViews>
  <sheetFormatPr defaultRowHeight="15" x14ac:dyDescent="0.25"/>
  <cols>
    <col min="1" max="1" width="8.5703125" customWidth="1"/>
    <col min="2" max="2" width="7.140625" bestFit="1" customWidth="1"/>
    <col min="3" max="3" width="147.140625" bestFit="1" customWidth="1"/>
  </cols>
  <sheetData>
    <row r="1" spans="1:3" ht="24" x14ac:dyDescent="0.4">
      <c r="A1" s="3" t="s">
        <v>60</v>
      </c>
    </row>
    <row r="3" spans="1:3" x14ac:dyDescent="0.25">
      <c r="A3" t="s">
        <v>129</v>
      </c>
      <c r="B3" t="s">
        <v>61</v>
      </c>
      <c r="C3" t="s">
        <v>60</v>
      </c>
    </row>
    <row r="4" spans="1:3" x14ac:dyDescent="0.25">
      <c r="A4">
        <v>1</v>
      </c>
      <c r="B4" t="s">
        <v>62</v>
      </c>
      <c r="C4" t="s">
        <v>96</v>
      </c>
    </row>
    <row r="5" spans="1:3" x14ac:dyDescent="0.25">
      <c r="A5">
        <v>2</v>
      </c>
      <c r="B5" t="s">
        <v>63</v>
      </c>
      <c r="C5" t="s">
        <v>66</v>
      </c>
    </row>
    <row r="6" spans="1:3" x14ac:dyDescent="0.25">
      <c r="A6">
        <v>3</v>
      </c>
      <c r="B6" t="s">
        <v>64</v>
      </c>
      <c r="C6" t="s">
        <v>67</v>
      </c>
    </row>
    <row r="7" spans="1:3" x14ac:dyDescent="0.25">
      <c r="A7">
        <v>4</v>
      </c>
      <c r="B7" t="s">
        <v>65</v>
      </c>
      <c r="C7" t="s">
        <v>68</v>
      </c>
    </row>
    <row r="8" spans="1:3" x14ac:dyDescent="0.25">
      <c r="A8">
        <v>5</v>
      </c>
      <c r="B8" t="s">
        <v>69</v>
      </c>
      <c r="C8" t="s">
        <v>71</v>
      </c>
    </row>
    <row r="9" spans="1:3" x14ac:dyDescent="0.25">
      <c r="A9">
        <v>6</v>
      </c>
      <c r="B9" t="s">
        <v>70</v>
      </c>
      <c r="C9" t="s">
        <v>72</v>
      </c>
    </row>
    <row r="12" spans="1:3" x14ac:dyDescent="0.25">
      <c r="A12" s="4" t="s">
        <v>283</v>
      </c>
    </row>
    <row r="13" spans="1:3" x14ac:dyDescent="0.25">
      <c r="A13" t="s">
        <v>281</v>
      </c>
    </row>
    <row r="14" spans="1:3" x14ac:dyDescent="0.25">
      <c r="A14" t="s">
        <v>282</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DBC65-0C5F-4A06-8710-D45CCBBE14A7}">
  <dimension ref="A1:N60"/>
  <sheetViews>
    <sheetView showGridLines="0" topLeftCell="A58" zoomScale="80" zoomScaleNormal="80" workbookViewId="0">
      <selection activeCell="H59" sqref="H59"/>
    </sheetView>
  </sheetViews>
  <sheetFormatPr defaultRowHeight="15" x14ac:dyDescent="0.25"/>
  <cols>
    <col min="2" max="2" width="13.7109375" customWidth="1"/>
    <col min="3" max="3" width="26" customWidth="1"/>
    <col min="4" max="5" width="28.28515625" customWidth="1"/>
    <col min="6" max="6" width="33.140625" customWidth="1"/>
    <col min="7" max="8" width="27.7109375" customWidth="1"/>
    <col min="10" max="10" width="19.140625" bestFit="1" customWidth="1"/>
    <col min="11" max="11" width="9.42578125" customWidth="1"/>
    <col min="14" max="14" width="32.85546875" customWidth="1"/>
  </cols>
  <sheetData>
    <row r="1" spans="1:12" ht="24" x14ac:dyDescent="0.4">
      <c r="A1" s="3" t="s">
        <v>73</v>
      </c>
    </row>
    <row r="3" spans="1:12" x14ac:dyDescent="0.25">
      <c r="A3" s="5" t="s">
        <v>74</v>
      </c>
      <c r="B3" s="5" t="s">
        <v>0</v>
      </c>
      <c r="C3" s="5" t="s">
        <v>73</v>
      </c>
      <c r="D3" s="5" t="s">
        <v>75</v>
      </c>
      <c r="E3" s="5" t="s">
        <v>76</v>
      </c>
      <c r="F3" s="5" t="s">
        <v>1</v>
      </c>
      <c r="G3" s="5" t="s">
        <v>2</v>
      </c>
      <c r="H3" s="5" t="s">
        <v>3</v>
      </c>
      <c r="I3" s="5" t="s">
        <v>4</v>
      </c>
      <c r="J3" s="5" t="s">
        <v>77</v>
      </c>
      <c r="K3" s="5" t="s">
        <v>5</v>
      </c>
      <c r="L3" s="5" t="s">
        <v>6</v>
      </c>
    </row>
    <row r="4" spans="1:12" ht="180" x14ac:dyDescent="0.25">
      <c r="A4" s="1">
        <v>1</v>
      </c>
      <c r="B4" s="1" t="s">
        <v>7</v>
      </c>
      <c r="C4" s="1" t="s">
        <v>78</v>
      </c>
      <c r="D4" s="1" t="s">
        <v>79</v>
      </c>
      <c r="E4" s="1" t="s">
        <v>39</v>
      </c>
      <c r="F4" s="1" t="s">
        <v>188</v>
      </c>
      <c r="G4" s="1" t="s">
        <v>80</v>
      </c>
      <c r="H4" s="1" t="s">
        <v>264</v>
      </c>
      <c r="I4" s="2" t="s">
        <v>37</v>
      </c>
      <c r="J4" s="1" t="s">
        <v>64</v>
      </c>
      <c r="K4" s="1"/>
      <c r="L4" s="1"/>
    </row>
    <row r="5" spans="1:12" ht="75" x14ac:dyDescent="0.25">
      <c r="A5" s="1">
        <v>2</v>
      </c>
      <c r="B5" s="1" t="s">
        <v>8</v>
      </c>
      <c r="C5" s="1" t="s">
        <v>81</v>
      </c>
      <c r="D5" s="1" t="s">
        <v>79</v>
      </c>
      <c r="E5" s="1" t="s">
        <v>40</v>
      </c>
      <c r="F5" s="1"/>
      <c r="G5" s="1" t="s">
        <v>238</v>
      </c>
      <c r="H5" s="1" t="s">
        <v>265</v>
      </c>
      <c r="I5" s="2" t="s">
        <v>37</v>
      </c>
      <c r="J5" s="1" t="s">
        <v>64</v>
      </c>
      <c r="K5" s="1"/>
      <c r="L5" s="1"/>
    </row>
    <row r="6" spans="1:12" ht="90" x14ac:dyDescent="0.25">
      <c r="A6" s="1">
        <v>3</v>
      </c>
      <c r="B6" s="1" t="s">
        <v>9</v>
      </c>
      <c r="C6" s="1" t="s">
        <v>82</v>
      </c>
      <c r="D6" s="1" t="s">
        <v>141</v>
      </c>
      <c r="E6" s="1" t="s">
        <v>142</v>
      </c>
      <c r="F6" s="1" t="s">
        <v>189</v>
      </c>
      <c r="G6" s="1" t="s">
        <v>233</v>
      </c>
      <c r="H6" s="1" t="s">
        <v>266</v>
      </c>
      <c r="I6" s="2" t="s">
        <v>37</v>
      </c>
      <c r="J6" s="1" t="s">
        <v>64</v>
      </c>
      <c r="K6" s="1"/>
      <c r="L6" s="1"/>
    </row>
    <row r="7" spans="1:12" ht="90" x14ac:dyDescent="0.25">
      <c r="A7" s="1">
        <v>4</v>
      </c>
      <c r="B7" s="1" t="s">
        <v>10</v>
      </c>
      <c r="C7" s="1" t="s">
        <v>83</v>
      </c>
      <c r="D7" s="1" t="s">
        <v>141</v>
      </c>
      <c r="E7" s="1" t="s">
        <v>143</v>
      </c>
      <c r="F7" s="1" t="s">
        <v>190</v>
      </c>
      <c r="G7" s="1" t="s">
        <v>234</v>
      </c>
      <c r="H7" s="1" t="s">
        <v>267</v>
      </c>
      <c r="I7" s="2" t="s">
        <v>37</v>
      </c>
      <c r="J7" s="1" t="s">
        <v>64</v>
      </c>
      <c r="K7" s="1"/>
      <c r="L7" s="1"/>
    </row>
    <row r="8" spans="1:12" ht="105" x14ac:dyDescent="0.25">
      <c r="A8" s="1">
        <v>5</v>
      </c>
      <c r="B8" s="1" t="s">
        <v>11</v>
      </c>
      <c r="C8" s="1" t="s">
        <v>84</v>
      </c>
      <c r="D8" s="1" t="s">
        <v>141</v>
      </c>
      <c r="E8" s="1" t="s">
        <v>144</v>
      </c>
      <c r="F8" s="1" t="s">
        <v>191</v>
      </c>
      <c r="G8" s="1" t="s">
        <v>235</v>
      </c>
      <c r="H8" s="1" t="s">
        <v>268</v>
      </c>
      <c r="I8" s="2" t="s">
        <v>37</v>
      </c>
      <c r="J8" s="1" t="s">
        <v>64</v>
      </c>
      <c r="K8" s="1"/>
      <c r="L8" s="1"/>
    </row>
    <row r="9" spans="1:12" ht="90" x14ac:dyDescent="0.25">
      <c r="A9" s="1">
        <v>6</v>
      </c>
      <c r="B9" s="1" t="s">
        <v>12</v>
      </c>
      <c r="C9" s="1" t="s">
        <v>85</v>
      </c>
      <c r="D9" s="1" t="s">
        <v>141</v>
      </c>
      <c r="E9" s="1" t="s">
        <v>145</v>
      </c>
      <c r="F9" s="1" t="s">
        <v>192</v>
      </c>
      <c r="G9" s="1" t="s">
        <v>236</v>
      </c>
      <c r="H9" s="1" t="s">
        <v>269</v>
      </c>
      <c r="I9" s="2" t="s">
        <v>37</v>
      </c>
      <c r="J9" s="1" t="s">
        <v>64</v>
      </c>
      <c r="K9" s="1"/>
      <c r="L9" s="1"/>
    </row>
    <row r="10" spans="1:12" ht="105" x14ac:dyDescent="0.25">
      <c r="A10" s="1">
        <v>7</v>
      </c>
      <c r="B10" s="1" t="s">
        <v>13</v>
      </c>
      <c r="C10" s="1" t="s">
        <v>86</v>
      </c>
      <c r="D10" s="1" t="s">
        <v>141</v>
      </c>
      <c r="E10" s="1" t="s">
        <v>146</v>
      </c>
      <c r="F10" s="1" t="s">
        <v>193</v>
      </c>
      <c r="G10" s="1" t="s">
        <v>237</v>
      </c>
      <c r="H10" s="1" t="s">
        <v>270</v>
      </c>
      <c r="I10" s="2" t="s">
        <v>37</v>
      </c>
      <c r="J10" s="1" t="s">
        <v>64</v>
      </c>
      <c r="K10" s="1"/>
      <c r="L10" s="1"/>
    </row>
    <row r="11" spans="1:12" ht="105" x14ac:dyDescent="0.25">
      <c r="A11" s="1">
        <v>8</v>
      </c>
      <c r="B11" s="1" t="s">
        <v>14</v>
      </c>
      <c r="C11" s="1" t="s">
        <v>88</v>
      </c>
      <c r="D11" s="1" t="s">
        <v>141</v>
      </c>
      <c r="E11" s="1" t="s">
        <v>147</v>
      </c>
      <c r="F11" s="1" t="s">
        <v>194</v>
      </c>
      <c r="G11" s="1" t="s">
        <v>240</v>
      </c>
      <c r="H11" s="1" t="s">
        <v>271</v>
      </c>
      <c r="I11" s="2" t="s">
        <v>37</v>
      </c>
      <c r="J11" s="1" t="s">
        <v>64</v>
      </c>
      <c r="K11" s="1"/>
      <c r="L11" s="1"/>
    </row>
    <row r="12" spans="1:12" ht="90" x14ac:dyDescent="0.25">
      <c r="A12" s="1">
        <v>9</v>
      </c>
      <c r="B12" s="1" t="s">
        <v>15</v>
      </c>
      <c r="C12" s="1" t="s">
        <v>87</v>
      </c>
      <c r="D12" s="1" t="s">
        <v>141</v>
      </c>
      <c r="E12" s="1" t="s">
        <v>148</v>
      </c>
      <c r="F12" s="1" t="s">
        <v>195</v>
      </c>
      <c r="G12" s="1" t="s">
        <v>241</v>
      </c>
      <c r="H12" s="1" t="s">
        <v>272</v>
      </c>
      <c r="I12" s="2" t="s">
        <v>37</v>
      </c>
      <c r="J12" s="1" t="s">
        <v>64</v>
      </c>
      <c r="K12" s="1"/>
      <c r="L12" s="1"/>
    </row>
    <row r="13" spans="1:12" ht="90" x14ac:dyDescent="0.25">
      <c r="A13" s="1">
        <v>10</v>
      </c>
      <c r="B13" s="1" t="s">
        <v>16</v>
      </c>
      <c r="C13" s="1" t="s">
        <v>90</v>
      </c>
      <c r="D13" s="1" t="s">
        <v>141</v>
      </c>
      <c r="E13" s="1" t="s">
        <v>149</v>
      </c>
      <c r="F13" s="1" t="s">
        <v>196</v>
      </c>
      <c r="G13" s="1" t="s">
        <v>242</v>
      </c>
      <c r="H13" s="1" t="s">
        <v>273</v>
      </c>
      <c r="I13" s="2" t="s">
        <v>37</v>
      </c>
      <c r="J13" s="1" t="s">
        <v>64</v>
      </c>
      <c r="K13" s="1"/>
      <c r="L13" s="1"/>
    </row>
    <row r="14" spans="1:12" ht="90" x14ac:dyDescent="0.25">
      <c r="A14" s="1">
        <v>11</v>
      </c>
      <c r="B14" s="1" t="s">
        <v>17</v>
      </c>
      <c r="C14" s="1" t="s">
        <v>89</v>
      </c>
      <c r="D14" s="1" t="s">
        <v>141</v>
      </c>
      <c r="E14" s="1" t="s">
        <v>150</v>
      </c>
      <c r="F14" s="1" t="s">
        <v>197</v>
      </c>
      <c r="G14" s="1" t="s">
        <v>243</v>
      </c>
      <c r="H14" s="1" t="s">
        <v>274</v>
      </c>
      <c r="I14" s="2" t="s">
        <v>37</v>
      </c>
      <c r="J14" s="1" t="s">
        <v>64</v>
      </c>
      <c r="K14" s="1"/>
      <c r="L14" s="1"/>
    </row>
    <row r="15" spans="1:12" ht="90" x14ac:dyDescent="0.25">
      <c r="A15" s="1">
        <v>12</v>
      </c>
      <c r="B15" s="1" t="s">
        <v>18</v>
      </c>
      <c r="C15" s="1" t="s">
        <v>91</v>
      </c>
      <c r="D15" s="1" t="s">
        <v>141</v>
      </c>
      <c r="E15" s="1" t="s">
        <v>151</v>
      </c>
      <c r="F15" s="1" t="s">
        <v>198</v>
      </c>
      <c r="G15" s="1" t="s">
        <v>244</v>
      </c>
      <c r="H15" s="1" t="s">
        <v>275</v>
      </c>
      <c r="I15" s="2" t="s">
        <v>37</v>
      </c>
      <c r="J15" s="1" t="s">
        <v>64</v>
      </c>
      <c r="K15" s="1"/>
      <c r="L15" s="1"/>
    </row>
    <row r="16" spans="1:12" ht="90" x14ac:dyDescent="0.25">
      <c r="A16" s="1">
        <v>13</v>
      </c>
      <c r="B16" s="1" t="s">
        <v>19</v>
      </c>
      <c r="C16" s="1" t="s">
        <v>92</v>
      </c>
      <c r="D16" s="1" t="s">
        <v>141</v>
      </c>
      <c r="E16" s="1" t="s">
        <v>152</v>
      </c>
      <c r="F16" s="1" t="s">
        <v>199</v>
      </c>
      <c r="G16" s="1" t="s">
        <v>245</v>
      </c>
      <c r="H16" s="1" t="s">
        <v>276</v>
      </c>
      <c r="I16" s="2" t="s">
        <v>37</v>
      </c>
      <c r="J16" s="1" t="s">
        <v>64</v>
      </c>
      <c r="K16" s="1"/>
      <c r="L16" s="1"/>
    </row>
    <row r="17" spans="1:14" ht="165" x14ac:dyDescent="0.25">
      <c r="A17" s="1">
        <v>14</v>
      </c>
      <c r="B17" s="1" t="s">
        <v>20</v>
      </c>
      <c r="C17" s="1" t="s">
        <v>93</v>
      </c>
      <c r="D17" s="1" t="s">
        <v>141</v>
      </c>
      <c r="E17" s="1" t="s">
        <v>153</v>
      </c>
      <c r="F17" s="1" t="s">
        <v>200</v>
      </c>
      <c r="G17" s="1" t="s">
        <v>246</v>
      </c>
      <c r="H17" s="1" t="s">
        <v>277</v>
      </c>
      <c r="I17" s="2" t="s">
        <v>37</v>
      </c>
      <c r="J17" s="1" t="s">
        <v>64</v>
      </c>
      <c r="K17" s="1"/>
      <c r="L17" s="1"/>
      <c r="N17" s="1" t="s">
        <v>278</v>
      </c>
    </row>
    <row r="18" spans="1:14" ht="105" x14ac:dyDescent="0.25">
      <c r="A18" s="1">
        <v>15</v>
      </c>
      <c r="B18" s="1" t="s">
        <v>21</v>
      </c>
      <c r="C18" s="1" t="s">
        <v>94</v>
      </c>
      <c r="D18" s="1" t="s">
        <v>141</v>
      </c>
      <c r="E18" s="1" t="s">
        <v>154</v>
      </c>
      <c r="F18" s="1" t="s">
        <v>201</v>
      </c>
      <c r="G18" s="1" t="s">
        <v>247</v>
      </c>
      <c r="H18" s="1" t="s">
        <v>279</v>
      </c>
      <c r="I18" s="2" t="s">
        <v>37</v>
      </c>
      <c r="J18" s="1" t="s">
        <v>64</v>
      </c>
      <c r="K18" s="1"/>
      <c r="L18" s="1"/>
    </row>
    <row r="19" spans="1:14" ht="105" x14ac:dyDescent="0.25">
      <c r="A19" s="1">
        <v>16</v>
      </c>
      <c r="B19" s="1" t="s">
        <v>22</v>
      </c>
      <c r="C19" s="1" t="s">
        <v>95</v>
      </c>
      <c r="D19" s="1" t="s">
        <v>141</v>
      </c>
      <c r="E19" s="1" t="s">
        <v>155</v>
      </c>
      <c r="F19" s="1" t="s">
        <v>202</v>
      </c>
      <c r="G19" s="1" t="s">
        <v>248</v>
      </c>
      <c r="H19" s="1" t="s">
        <v>280</v>
      </c>
      <c r="I19" s="2" t="s">
        <v>37</v>
      </c>
      <c r="J19" s="1" t="s">
        <v>64</v>
      </c>
      <c r="K19" s="1"/>
      <c r="L19" s="1"/>
    </row>
    <row r="20" spans="1:14" ht="120" x14ac:dyDescent="0.25">
      <c r="A20" s="1">
        <v>17</v>
      </c>
      <c r="B20" s="1" t="s">
        <v>23</v>
      </c>
      <c r="C20" s="1" t="s">
        <v>136</v>
      </c>
      <c r="D20" s="1" t="s">
        <v>141</v>
      </c>
      <c r="E20" s="1" t="s">
        <v>156</v>
      </c>
      <c r="F20" s="1" t="s">
        <v>203</v>
      </c>
      <c r="G20" s="1" t="s">
        <v>249</v>
      </c>
      <c r="H20" s="1" t="s">
        <v>264</v>
      </c>
      <c r="I20" s="2" t="s">
        <v>37</v>
      </c>
      <c r="J20" s="1" t="s">
        <v>103</v>
      </c>
      <c r="K20" s="1"/>
      <c r="L20" s="1"/>
    </row>
    <row r="21" spans="1:14" ht="120" x14ac:dyDescent="0.25">
      <c r="A21" s="1">
        <v>18</v>
      </c>
      <c r="B21" s="1" t="s">
        <v>24</v>
      </c>
      <c r="C21" s="1" t="s">
        <v>137</v>
      </c>
      <c r="D21" s="1" t="s">
        <v>141</v>
      </c>
      <c r="E21" s="1" t="s">
        <v>157</v>
      </c>
      <c r="F21" s="1" t="s">
        <v>204</v>
      </c>
      <c r="G21" s="1" t="s">
        <v>249</v>
      </c>
      <c r="H21" s="1" t="s">
        <v>264</v>
      </c>
      <c r="I21" s="2" t="s">
        <v>37</v>
      </c>
      <c r="J21" s="1" t="s">
        <v>103</v>
      </c>
      <c r="K21" s="1"/>
      <c r="L21" s="1"/>
    </row>
    <row r="22" spans="1:14" ht="120" x14ac:dyDescent="0.25">
      <c r="A22" s="1">
        <v>19</v>
      </c>
      <c r="B22" s="1" t="s">
        <v>25</v>
      </c>
      <c r="C22" s="1" t="s">
        <v>138</v>
      </c>
      <c r="D22" s="1" t="s">
        <v>141</v>
      </c>
      <c r="E22" s="1" t="s">
        <v>158</v>
      </c>
      <c r="F22" s="1" t="s">
        <v>205</v>
      </c>
      <c r="G22" s="1" t="s">
        <v>249</v>
      </c>
      <c r="H22" s="1" t="s">
        <v>264</v>
      </c>
      <c r="I22" s="2" t="s">
        <v>37</v>
      </c>
      <c r="J22" s="1" t="s">
        <v>65</v>
      </c>
      <c r="K22" s="1"/>
      <c r="L22" s="1"/>
    </row>
    <row r="23" spans="1:14" ht="120" x14ac:dyDescent="0.25">
      <c r="A23" s="1">
        <v>20</v>
      </c>
      <c r="B23" s="1" t="s">
        <v>26</v>
      </c>
      <c r="C23" s="1" t="s">
        <v>289</v>
      </c>
      <c r="D23" s="1" t="s">
        <v>141</v>
      </c>
      <c r="E23" s="1" t="s">
        <v>298</v>
      </c>
      <c r="F23" s="1" t="s">
        <v>295</v>
      </c>
      <c r="G23" s="1" t="s">
        <v>250</v>
      </c>
      <c r="H23" s="1" t="s">
        <v>264</v>
      </c>
      <c r="I23" s="2" t="s">
        <v>37</v>
      </c>
      <c r="J23" s="1" t="s">
        <v>65</v>
      </c>
      <c r="K23" s="1"/>
      <c r="L23" s="1"/>
    </row>
    <row r="24" spans="1:14" ht="120" x14ac:dyDescent="0.25">
      <c r="A24" s="1">
        <v>21</v>
      </c>
      <c r="B24" s="1" t="s">
        <v>27</v>
      </c>
      <c r="C24" s="1" t="s">
        <v>290</v>
      </c>
      <c r="D24" s="1" t="s">
        <v>141</v>
      </c>
      <c r="E24" s="1" t="s">
        <v>299</v>
      </c>
      <c r="F24" s="1" t="s">
        <v>296</v>
      </c>
      <c r="G24" s="1" t="s">
        <v>250</v>
      </c>
      <c r="H24" s="1" t="s">
        <v>264</v>
      </c>
      <c r="I24" s="2" t="s">
        <v>37</v>
      </c>
      <c r="J24" s="1"/>
      <c r="K24" s="1"/>
      <c r="L24" s="1"/>
    </row>
    <row r="25" spans="1:14" ht="120" x14ac:dyDescent="0.25">
      <c r="A25" s="1">
        <v>22</v>
      </c>
      <c r="B25" s="1" t="s">
        <v>28</v>
      </c>
      <c r="C25" s="1" t="s">
        <v>291</v>
      </c>
      <c r="D25" s="1" t="s">
        <v>141</v>
      </c>
      <c r="E25" s="1" t="s">
        <v>300</v>
      </c>
      <c r="F25" s="1" t="s">
        <v>297</v>
      </c>
      <c r="G25" s="1" t="s">
        <v>307</v>
      </c>
      <c r="H25" s="1" t="s">
        <v>308</v>
      </c>
      <c r="I25" s="2" t="s">
        <v>37</v>
      </c>
      <c r="J25" s="1"/>
      <c r="K25" s="1"/>
      <c r="L25" s="1"/>
    </row>
    <row r="26" spans="1:14" ht="120" x14ac:dyDescent="0.25">
      <c r="A26" s="1">
        <v>23</v>
      </c>
      <c r="B26" s="1" t="s">
        <v>29</v>
      </c>
      <c r="C26" s="1" t="s">
        <v>292</v>
      </c>
      <c r="D26" s="1" t="s">
        <v>141</v>
      </c>
      <c r="E26" s="1" t="s">
        <v>301</v>
      </c>
      <c r="F26" s="1" t="s">
        <v>304</v>
      </c>
      <c r="G26" s="1" t="s">
        <v>250</v>
      </c>
      <c r="H26" s="1" t="s">
        <v>264</v>
      </c>
      <c r="I26" s="2" t="s">
        <v>37</v>
      </c>
      <c r="J26" s="1"/>
      <c r="K26" s="1"/>
      <c r="L26" s="1"/>
    </row>
    <row r="27" spans="1:14" ht="120" x14ac:dyDescent="0.25">
      <c r="A27" s="1">
        <v>24</v>
      </c>
      <c r="B27" s="1" t="s">
        <v>30</v>
      </c>
      <c r="C27" s="1" t="s">
        <v>293</v>
      </c>
      <c r="D27" s="1" t="s">
        <v>141</v>
      </c>
      <c r="E27" s="1" t="s">
        <v>302</v>
      </c>
      <c r="F27" s="1" t="s">
        <v>305</v>
      </c>
      <c r="G27" s="1" t="s">
        <v>250</v>
      </c>
      <c r="H27" s="1" t="s">
        <v>264</v>
      </c>
      <c r="I27" s="2" t="s">
        <v>37</v>
      </c>
      <c r="J27" s="1"/>
      <c r="K27" s="1"/>
      <c r="L27" s="1"/>
    </row>
    <row r="28" spans="1:14" ht="120" x14ac:dyDescent="0.25">
      <c r="A28" s="1">
        <v>25</v>
      </c>
      <c r="B28" s="1" t="s">
        <v>31</v>
      </c>
      <c r="C28" s="1" t="s">
        <v>294</v>
      </c>
      <c r="D28" s="1" t="s">
        <v>141</v>
      </c>
      <c r="E28" s="1" t="s">
        <v>303</v>
      </c>
      <c r="F28" s="1" t="s">
        <v>309</v>
      </c>
      <c r="G28" s="1" t="s">
        <v>306</v>
      </c>
      <c r="H28" s="1" t="s">
        <v>310</v>
      </c>
      <c r="I28" s="2" t="s">
        <v>37</v>
      </c>
      <c r="J28" s="1"/>
      <c r="K28" s="1"/>
      <c r="L28" s="1"/>
    </row>
    <row r="29" spans="1:14" ht="120" x14ac:dyDescent="0.25">
      <c r="A29" s="1">
        <v>26</v>
      </c>
      <c r="B29" s="1" t="s">
        <v>33</v>
      </c>
      <c r="C29" s="1" t="s">
        <v>139</v>
      </c>
      <c r="D29" s="1" t="s">
        <v>141</v>
      </c>
      <c r="E29" s="1" t="s">
        <v>159</v>
      </c>
      <c r="F29" s="1" t="s">
        <v>206</v>
      </c>
      <c r="G29" s="1" t="s">
        <v>250</v>
      </c>
      <c r="H29" s="1" t="s">
        <v>264</v>
      </c>
      <c r="I29" s="2" t="s">
        <v>37</v>
      </c>
      <c r="J29" s="1" t="s">
        <v>65</v>
      </c>
      <c r="K29" s="1"/>
      <c r="L29" s="1"/>
    </row>
    <row r="30" spans="1:14" ht="120" x14ac:dyDescent="0.25">
      <c r="A30" s="1">
        <v>27</v>
      </c>
      <c r="B30" s="1" t="s">
        <v>34</v>
      </c>
      <c r="C30" s="1" t="s">
        <v>140</v>
      </c>
      <c r="D30" s="1" t="s">
        <v>141</v>
      </c>
      <c r="E30" s="1" t="s">
        <v>160</v>
      </c>
      <c r="F30" s="1" t="s">
        <v>207</v>
      </c>
      <c r="G30" s="1" t="s">
        <v>250</v>
      </c>
      <c r="H30" s="1" t="s">
        <v>264</v>
      </c>
      <c r="I30" s="2" t="s">
        <v>37</v>
      </c>
      <c r="J30" s="1" t="s">
        <v>65</v>
      </c>
      <c r="K30" s="1"/>
      <c r="L30" s="1"/>
    </row>
    <row r="31" spans="1:14" ht="135" x14ac:dyDescent="0.25">
      <c r="A31" s="1">
        <v>28</v>
      </c>
      <c r="B31" s="1" t="s">
        <v>35</v>
      </c>
      <c r="C31" s="1" t="s">
        <v>97</v>
      </c>
      <c r="D31" s="1" t="s">
        <v>141</v>
      </c>
      <c r="E31" s="1" t="s">
        <v>161</v>
      </c>
      <c r="F31" s="1" t="s">
        <v>208</v>
      </c>
      <c r="G31" s="1" t="s">
        <v>251</v>
      </c>
      <c r="H31" s="1" t="s">
        <v>311</v>
      </c>
      <c r="I31" s="2" t="s">
        <v>37</v>
      </c>
      <c r="J31" s="1" t="s">
        <v>62</v>
      </c>
      <c r="K31" s="1"/>
      <c r="L31" s="1"/>
    </row>
    <row r="32" spans="1:14" ht="150" x14ac:dyDescent="0.25">
      <c r="A32" s="1">
        <v>29</v>
      </c>
      <c r="B32" s="1" t="s">
        <v>36</v>
      </c>
      <c r="C32" s="1" t="s">
        <v>98</v>
      </c>
      <c r="D32" s="1" t="s">
        <v>141</v>
      </c>
      <c r="E32" s="1" t="s">
        <v>162</v>
      </c>
      <c r="F32" s="1" t="s">
        <v>209</v>
      </c>
      <c r="G32" s="1" t="s">
        <v>312</v>
      </c>
      <c r="H32" s="1" t="s">
        <v>311</v>
      </c>
      <c r="I32" s="2" t="s">
        <v>37</v>
      </c>
      <c r="J32" s="1" t="s">
        <v>62</v>
      </c>
      <c r="K32" s="1"/>
      <c r="L32" s="1"/>
    </row>
    <row r="33" spans="1:12" ht="150" x14ac:dyDescent="0.25">
      <c r="A33" s="1">
        <v>30</v>
      </c>
      <c r="B33" s="1" t="s">
        <v>41</v>
      </c>
      <c r="C33" s="1" t="s">
        <v>99</v>
      </c>
      <c r="D33" s="1" t="s">
        <v>141</v>
      </c>
      <c r="E33" s="1" t="s">
        <v>163</v>
      </c>
      <c r="F33" s="1" t="s">
        <v>210</v>
      </c>
      <c r="G33" s="1" t="s">
        <v>250</v>
      </c>
      <c r="H33" s="1" t="s">
        <v>264</v>
      </c>
      <c r="I33" s="2" t="s">
        <v>37</v>
      </c>
      <c r="J33" s="1" t="s">
        <v>62</v>
      </c>
      <c r="K33" s="1"/>
      <c r="L33" s="1"/>
    </row>
    <row r="34" spans="1:12" ht="150" x14ac:dyDescent="0.25">
      <c r="A34" s="1">
        <v>31</v>
      </c>
      <c r="B34" s="1" t="s">
        <v>42</v>
      </c>
      <c r="C34" s="1" t="s">
        <v>100</v>
      </c>
      <c r="D34" s="1" t="s">
        <v>141</v>
      </c>
      <c r="E34" s="1" t="s">
        <v>164</v>
      </c>
      <c r="F34" s="1" t="s">
        <v>211</v>
      </c>
      <c r="G34" s="1" t="s">
        <v>250</v>
      </c>
      <c r="H34" s="1" t="s">
        <v>264</v>
      </c>
      <c r="I34" s="2" t="s">
        <v>37</v>
      </c>
      <c r="J34" s="1" t="s">
        <v>62</v>
      </c>
      <c r="K34" s="1"/>
      <c r="L34" s="1"/>
    </row>
    <row r="35" spans="1:12" ht="150" x14ac:dyDescent="0.25">
      <c r="A35" s="1">
        <v>32</v>
      </c>
      <c r="B35" s="1" t="s">
        <v>43</v>
      </c>
      <c r="C35" s="1" t="s">
        <v>101</v>
      </c>
      <c r="D35" s="1" t="s">
        <v>141</v>
      </c>
      <c r="E35" s="1" t="s">
        <v>165</v>
      </c>
      <c r="F35" s="1" t="s">
        <v>212</v>
      </c>
      <c r="G35" s="1" t="s">
        <v>313</v>
      </c>
      <c r="H35" s="1" t="s">
        <v>264</v>
      </c>
      <c r="I35" s="2" t="s">
        <v>38</v>
      </c>
      <c r="J35" s="1" t="s">
        <v>62</v>
      </c>
      <c r="K35" s="1"/>
      <c r="L35" s="1"/>
    </row>
    <row r="36" spans="1:12" ht="135" x14ac:dyDescent="0.25">
      <c r="A36" s="1">
        <v>33</v>
      </c>
      <c r="B36" s="1" t="s">
        <v>44</v>
      </c>
      <c r="C36" s="1" t="s">
        <v>102</v>
      </c>
      <c r="D36" s="1" t="s">
        <v>141</v>
      </c>
      <c r="E36" s="1" t="s">
        <v>166</v>
      </c>
      <c r="F36" s="1" t="s">
        <v>239</v>
      </c>
      <c r="G36" s="1" t="s">
        <v>252</v>
      </c>
      <c r="H36" s="1" t="s">
        <v>314</v>
      </c>
      <c r="I36" s="2" t="s">
        <v>37</v>
      </c>
      <c r="J36" s="1" t="s">
        <v>103</v>
      </c>
      <c r="K36" s="1"/>
      <c r="L36" s="1"/>
    </row>
    <row r="37" spans="1:12" ht="150" x14ac:dyDescent="0.25">
      <c r="A37" s="1">
        <v>34</v>
      </c>
      <c r="B37" s="1" t="s">
        <v>45</v>
      </c>
      <c r="C37" s="1" t="s">
        <v>104</v>
      </c>
      <c r="D37" s="1" t="s">
        <v>141</v>
      </c>
      <c r="E37" s="1" t="s">
        <v>167</v>
      </c>
      <c r="F37" s="1" t="s">
        <v>213</v>
      </c>
      <c r="G37" s="1" t="s">
        <v>253</v>
      </c>
      <c r="H37" s="1" t="s">
        <v>315</v>
      </c>
      <c r="I37" s="2" t="s">
        <v>37</v>
      </c>
      <c r="J37" s="1" t="s">
        <v>103</v>
      </c>
      <c r="K37" s="1"/>
      <c r="L37" s="1"/>
    </row>
    <row r="38" spans="1:12" ht="180" x14ac:dyDescent="0.25">
      <c r="A38" s="1">
        <v>35</v>
      </c>
      <c r="B38" s="1" t="s">
        <v>46</v>
      </c>
      <c r="C38" s="1" t="s">
        <v>105</v>
      </c>
      <c r="D38" s="1" t="s">
        <v>141</v>
      </c>
      <c r="E38" s="1" t="s">
        <v>168</v>
      </c>
      <c r="F38" s="1" t="s">
        <v>316</v>
      </c>
      <c r="G38" s="1" t="s">
        <v>250</v>
      </c>
      <c r="H38" s="1" t="s">
        <v>320</v>
      </c>
      <c r="I38" s="2" t="s">
        <v>37</v>
      </c>
      <c r="J38" s="1" t="s">
        <v>103</v>
      </c>
      <c r="K38" s="1"/>
      <c r="L38" s="1"/>
    </row>
    <row r="39" spans="1:12" ht="210" x14ac:dyDescent="0.25">
      <c r="A39" s="1">
        <v>36</v>
      </c>
      <c r="B39" s="1" t="s">
        <v>47</v>
      </c>
      <c r="C39" s="1" t="s">
        <v>106</v>
      </c>
      <c r="D39" s="1" t="s">
        <v>141</v>
      </c>
      <c r="E39" s="1" t="s">
        <v>169</v>
      </c>
      <c r="F39" s="1" t="s">
        <v>214</v>
      </c>
      <c r="G39" s="1" t="s">
        <v>317</v>
      </c>
      <c r="H39" s="1" t="s">
        <v>318</v>
      </c>
      <c r="I39" s="2" t="s">
        <v>37</v>
      </c>
      <c r="J39" s="1" t="s">
        <v>103</v>
      </c>
      <c r="K39" s="1"/>
      <c r="L39" s="1"/>
    </row>
    <row r="40" spans="1:12" ht="105" x14ac:dyDescent="0.25">
      <c r="A40" s="1">
        <v>37</v>
      </c>
      <c r="B40" s="1" t="s">
        <v>48</v>
      </c>
      <c r="C40" s="1" t="s">
        <v>107</v>
      </c>
      <c r="D40" s="1" t="s">
        <v>141</v>
      </c>
      <c r="E40" s="1" t="s">
        <v>170</v>
      </c>
      <c r="F40" s="1" t="s">
        <v>215</v>
      </c>
      <c r="G40" s="1" t="s">
        <v>254</v>
      </c>
      <c r="H40" s="1" t="s">
        <v>319</v>
      </c>
      <c r="I40" s="2" t="s">
        <v>37</v>
      </c>
      <c r="J40" s="1" t="s">
        <v>65</v>
      </c>
      <c r="K40" s="1"/>
      <c r="L40" s="1"/>
    </row>
    <row r="41" spans="1:12" ht="120" x14ac:dyDescent="0.25">
      <c r="A41" s="1">
        <v>38</v>
      </c>
      <c r="B41" s="1" t="s">
        <v>49</v>
      </c>
      <c r="C41" s="1" t="s">
        <v>108</v>
      </c>
      <c r="D41" s="1" t="s">
        <v>141</v>
      </c>
      <c r="E41" s="1" t="s">
        <v>171</v>
      </c>
      <c r="F41" s="1" t="s">
        <v>216</v>
      </c>
      <c r="G41" s="1" t="s">
        <v>254</v>
      </c>
      <c r="H41" s="1" t="s">
        <v>319</v>
      </c>
      <c r="I41" s="2" t="s">
        <v>37</v>
      </c>
      <c r="J41" s="1" t="s">
        <v>65</v>
      </c>
      <c r="K41" s="1"/>
      <c r="L41" s="1"/>
    </row>
    <row r="42" spans="1:12" ht="120" x14ac:dyDescent="0.25">
      <c r="A42" s="1">
        <v>39</v>
      </c>
      <c r="B42" s="1" t="s">
        <v>50</v>
      </c>
      <c r="C42" s="1" t="s">
        <v>327</v>
      </c>
      <c r="D42" s="1" t="s">
        <v>141</v>
      </c>
      <c r="E42" s="1" t="s">
        <v>330</v>
      </c>
      <c r="F42" s="1" t="s">
        <v>331</v>
      </c>
      <c r="G42" s="1" t="s">
        <v>250</v>
      </c>
      <c r="H42" s="1" t="s">
        <v>264</v>
      </c>
      <c r="I42" s="2" t="s">
        <v>37</v>
      </c>
      <c r="J42" s="1" t="s">
        <v>103</v>
      </c>
      <c r="K42" s="1"/>
      <c r="L42" s="1"/>
    </row>
    <row r="43" spans="1:12" ht="120" x14ac:dyDescent="0.25">
      <c r="A43" s="1">
        <v>40</v>
      </c>
      <c r="B43" s="1" t="s">
        <v>51</v>
      </c>
      <c r="C43" s="1" t="s">
        <v>328</v>
      </c>
      <c r="D43" s="1" t="s">
        <v>141</v>
      </c>
      <c r="E43" s="1" t="s">
        <v>330</v>
      </c>
      <c r="F43" s="1" t="s">
        <v>333</v>
      </c>
      <c r="G43" s="1" t="s">
        <v>250</v>
      </c>
      <c r="H43" s="1" t="s">
        <v>264</v>
      </c>
      <c r="I43" s="2" t="s">
        <v>37</v>
      </c>
      <c r="J43" s="1" t="s">
        <v>65</v>
      </c>
      <c r="K43" s="1"/>
      <c r="L43" s="1"/>
    </row>
    <row r="44" spans="1:12" ht="120" x14ac:dyDescent="0.25">
      <c r="A44" s="1">
        <v>41</v>
      </c>
      <c r="B44" s="1" t="s">
        <v>119</v>
      </c>
      <c r="C44" s="1" t="s">
        <v>329</v>
      </c>
      <c r="D44" s="1" t="s">
        <v>141</v>
      </c>
      <c r="E44" s="1" t="s">
        <v>330</v>
      </c>
      <c r="F44" s="1" t="s">
        <v>334</v>
      </c>
      <c r="G44" s="1" t="s">
        <v>332</v>
      </c>
      <c r="H44" s="1" t="s">
        <v>335</v>
      </c>
      <c r="I44" s="2" t="s">
        <v>37</v>
      </c>
      <c r="J44" s="1"/>
      <c r="K44" s="1"/>
      <c r="L44" s="1"/>
    </row>
    <row r="45" spans="1:12" ht="120" x14ac:dyDescent="0.25">
      <c r="A45" s="1">
        <v>42</v>
      </c>
      <c r="B45" s="1" t="s">
        <v>120</v>
      </c>
      <c r="C45" s="1" t="s">
        <v>109</v>
      </c>
      <c r="D45" s="1" t="s">
        <v>141</v>
      </c>
      <c r="E45" s="1" t="s">
        <v>172</v>
      </c>
      <c r="F45" s="1" t="s">
        <v>217</v>
      </c>
      <c r="G45" s="1" t="s">
        <v>250</v>
      </c>
      <c r="H45" s="1" t="s">
        <v>264</v>
      </c>
      <c r="I45" s="2" t="s">
        <v>37</v>
      </c>
      <c r="J45" s="1" t="s">
        <v>63</v>
      </c>
      <c r="K45" s="1"/>
      <c r="L45" s="1"/>
    </row>
    <row r="46" spans="1:12" ht="120" x14ac:dyDescent="0.25">
      <c r="A46" s="1">
        <v>43</v>
      </c>
      <c r="B46" s="1" t="s">
        <v>123</v>
      </c>
      <c r="C46" s="1" t="s">
        <v>110</v>
      </c>
      <c r="D46" s="1" t="s">
        <v>141</v>
      </c>
      <c r="E46" s="1" t="s">
        <v>173</v>
      </c>
      <c r="F46" s="1" t="s">
        <v>218</v>
      </c>
      <c r="G46" s="1" t="s">
        <v>321</v>
      </c>
      <c r="H46" s="1" t="s">
        <v>322</v>
      </c>
      <c r="I46" s="2" t="s">
        <v>37</v>
      </c>
      <c r="J46" s="1" t="s">
        <v>63</v>
      </c>
      <c r="K46" s="1"/>
      <c r="L46" s="1"/>
    </row>
    <row r="47" spans="1:12" ht="120" x14ac:dyDescent="0.25">
      <c r="A47" s="1">
        <v>44</v>
      </c>
      <c r="B47" s="1" t="s">
        <v>124</v>
      </c>
      <c r="C47" s="1" t="s">
        <v>32</v>
      </c>
      <c r="D47" s="1" t="s">
        <v>141</v>
      </c>
      <c r="E47" s="1" t="s">
        <v>174</v>
      </c>
      <c r="F47" s="1" t="s">
        <v>219</v>
      </c>
      <c r="G47" s="1" t="s">
        <v>255</v>
      </c>
      <c r="H47" s="1" t="s">
        <v>323</v>
      </c>
      <c r="I47" s="2" t="s">
        <v>37</v>
      </c>
      <c r="J47" s="1" t="s">
        <v>63</v>
      </c>
      <c r="K47" s="1"/>
      <c r="L47" s="1"/>
    </row>
    <row r="48" spans="1:12" ht="120" x14ac:dyDescent="0.25">
      <c r="A48" s="1">
        <v>45</v>
      </c>
      <c r="B48" s="1" t="s">
        <v>125</v>
      </c>
      <c r="C48" s="1" t="s">
        <v>111</v>
      </c>
      <c r="D48" s="1" t="s">
        <v>141</v>
      </c>
      <c r="E48" s="1" t="s">
        <v>175</v>
      </c>
      <c r="F48" s="1" t="s">
        <v>220</v>
      </c>
      <c r="G48" s="1" t="s">
        <v>256</v>
      </c>
      <c r="H48" s="1" t="s">
        <v>324</v>
      </c>
      <c r="I48" s="2" t="s">
        <v>38</v>
      </c>
      <c r="J48" s="1" t="s">
        <v>69</v>
      </c>
      <c r="K48" s="1"/>
      <c r="L48" s="1"/>
    </row>
    <row r="49" spans="1:12" ht="120" x14ac:dyDescent="0.25">
      <c r="A49" s="1"/>
      <c r="B49" s="1" t="s">
        <v>130</v>
      </c>
      <c r="C49" s="1" t="s">
        <v>112</v>
      </c>
      <c r="D49" s="1" t="s">
        <v>141</v>
      </c>
      <c r="E49" s="1" t="s">
        <v>176</v>
      </c>
      <c r="F49" s="1" t="s">
        <v>221</v>
      </c>
      <c r="G49" s="1" t="s">
        <v>250</v>
      </c>
      <c r="H49" s="1" t="s">
        <v>264</v>
      </c>
      <c r="I49" s="2" t="s">
        <v>37</v>
      </c>
      <c r="J49" s="1" t="s">
        <v>69</v>
      </c>
      <c r="K49" s="1"/>
      <c r="L49" s="1"/>
    </row>
    <row r="50" spans="1:12" ht="120" x14ac:dyDescent="0.25">
      <c r="A50" s="1"/>
      <c r="B50" s="1" t="s">
        <v>131</v>
      </c>
      <c r="C50" s="1" t="s">
        <v>113</v>
      </c>
      <c r="D50" s="1" t="s">
        <v>141</v>
      </c>
      <c r="E50" s="1" t="s">
        <v>177</v>
      </c>
      <c r="F50" s="1" t="s">
        <v>222</v>
      </c>
      <c r="G50" s="1" t="s">
        <v>250</v>
      </c>
      <c r="H50" s="1" t="s">
        <v>264</v>
      </c>
      <c r="I50" s="2" t="s">
        <v>37</v>
      </c>
      <c r="J50" s="1" t="s">
        <v>69</v>
      </c>
      <c r="K50" s="1"/>
      <c r="L50" s="1"/>
    </row>
    <row r="51" spans="1:12" ht="120" x14ac:dyDescent="0.25">
      <c r="A51" s="1"/>
      <c r="B51" s="1" t="s">
        <v>132</v>
      </c>
      <c r="C51" s="1" t="s">
        <v>114</v>
      </c>
      <c r="D51" s="1" t="s">
        <v>141</v>
      </c>
      <c r="E51" s="1" t="s">
        <v>178</v>
      </c>
      <c r="F51" s="1" t="s">
        <v>223</v>
      </c>
      <c r="G51" s="1" t="s">
        <v>325</v>
      </c>
      <c r="H51" s="1" t="s">
        <v>336</v>
      </c>
      <c r="I51" s="2" t="s">
        <v>38</v>
      </c>
      <c r="J51" s="1" t="s">
        <v>70</v>
      </c>
      <c r="K51" s="1"/>
      <c r="L51" s="1"/>
    </row>
    <row r="52" spans="1:12" ht="120" x14ac:dyDescent="0.25">
      <c r="A52" s="1"/>
      <c r="B52" s="1" t="s">
        <v>133</v>
      </c>
      <c r="C52" s="1" t="s">
        <v>115</v>
      </c>
      <c r="D52" s="1" t="s">
        <v>141</v>
      </c>
      <c r="E52" s="1" t="s">
        <v>179</v>
      </c>
      <c r="F52" s="1" t="s">
        <v>224</v>
      </c>
      <c r="G52" s="1" t="s">
        <v>257</v>
      </c>
      <c r="H52" s="1" t="s">
        <v>336</v>
      </c>
      <c r="I52" s="2" t="s">
        <v>38</v>
      </c>
      <c r="J52" s="1" t="s">
        <v>70</v>
      </c>
      <c r="K52" s="1"/>
      <c r="L52" s="1"/>
    </row>
    <row r="53" spans="1:12" ht="120" x14ac:dyDescent="0.25">
      <c r="A53" s="1"/>
      <c r="B53" s="1" t="s">
        <v>134</v>
      </c>
      <c r="C53" s="1" t="s">
        <v>116</v>
      </c>
      <c r="D53" s="1" t="s">
        <v>141</v>
      </c>
      <c r="E53" s="1" t="s">
        <v>180</v>
      </c>
      <c r="F53" s="1" t="s">
        <v>225</v>
      </c>
      <c r="G53" s="1" t="s">
        <v>258</v>
      </c>
      <c r="H53" s="1" t="s">
        <v>336</v>
      </c>
      <c r="I53" s="2" t="s">
        <v>38</v>
      </c>
      <c r="J53" s="1" t="s">
        <v>70</v>
      </c>
      <c r="K53" s="1"/>
      <c r="L53" s="1"/>
    </row>
    <row r="54" spans="1:12" ht="120" x14ac:dyDescent="0.25">
      <c r="A54" s="1"/>
      <c r="B54" s="1" t="s">
        <v>135</v>
      </c>
      <c r="C54" s="1" t="s">
        <v>117</v>
      </c>
      <c r="D54" s="1" t="s">
        <v>141</v>
      </c>
      <c r="E54" s="1" t="s">
        <v>181</v>
      </c>
      <c r="F54" s="1" t="s">
        <v>226</v>
      </c>
      <c r="G54" s="1" t="s">
        <v>259</v>
      </c>
      <c r="H54" s="1" t="s">
        <v>336</v>
      </c>
      <c r="I54" s="2" t="s">
        <v>38</v>
      </c>
      <c r="J54" s="1" t="s">
        <v>70</v>
      </c>
      <c r="K54" s="1"/>
      <c r="L54" s="1"/>
    </row>
    <row r="55" spans="1:12" ht="120" x14ac:dyDescent="0.25">
      <c r="A55" s="1"/>
      <c r="B55" s="1" t="s">
        <v>284</v>
      </c>
      <c r="C55" s="1" t="s">
        <v>118</v>
      </c>
      <c r="D55" s="1" t="s">
        <v>141</v>
      </c>
      <c r="E55" s="1" t="s">
        <v>182</v>
      </c>
      <c r="F55" s="1" t="s">
        <v>227</v>
      </c>
      <c r="G55" s="1" t="s">
        <v>260</v>
      </c>
      <c r="H55" s="1" t="s">
        <v>336</v>
      </c>
      <c r="I55" s="2" t="s">
        <v>38</v>
      </c>
      <c r="J55" s="1" t="s">
        <v>70</v>
      </c>
      <c r="K55" s="1"/>
      <c r="L55" s="1"/>
    </row>
    <row r="56" spans="1:12" ht="120" x14ac:dyDescent="0.25">
      <c r="A56" s="1"/>
      <c r="B56" s="1" t="s">
        <v>285</v>
      </c>
      <c r="C56" s="1" t="s">
        <v>121</v>
      </c>
      <c r="D56" s="1" t="s">
        <v>141</v>
      </c>
      <c r="E56" s="1" t="s">
        <v>183</v>
      </c>
      <c r="F56" s="1" t="s">
        <v>228</v>
      </c>
      <c r="G56" s="1" t="s">
        <v>261</v>
      </c>
      <c r="H56" s="1" t="s">
        <v>336</v>
      </c>
      <c r="I56" s="2" t="s">
        <v>38</v>
      </c>
      <c r="J56" s="1" t="s">
        <v>70</v>
      </c>
      <c r="K56" s="1"/>
      <c r="L56" s="1"/>
    </row>
    <row r="57" spans="1:12" ht="120" x14ac:dyDescent="0.25">
      <c r="A57" s="1"/>
      <c r="B57" s="1" t="s">
        <v>286</v>
      </c>
      <c r="C57" s="1" t="s">
        <v>122</v>
      </c>
      <c r="D57" s="1" t="s">
        <v>141</v>
      </c>
      <c r="E57" s="1" t="s">
        <v>184</v>
      </c>
      <c r="F57" s="1" t="s">
        <v>229</v>
      </c>
      <c r="G57" s="1" t="s">
        <v>262</v>
      </c>
      <c r="H57" s="1" t="s">
        <v>336</v>
      </c>
      <c r="I57" s="2" t="s">
        <v>38</v>
      </c>
      <c r="J57" s="1" t="s">
        <v>70</v>
      </c>
      <c r="K57" s="1"/>
      <c r="L57" s="1"/>
    </row>
    <row r="58" spans="1:12" ht="135" x14ac:dyDescent="0.25">
      <c r="A58" s="1"/>
      <c r="B58" s="1" t="s">
        <v>287</v>
      </c>
      <c r="C58" s="1" t="s">
        <v>126</v>
      </c>
      <c r="D58" s="1" t="s">
        <v>141</v>
      </c>
      <c r="E58" s="1" t="s">
        <v>185</v>
      </c>
      <c r="F58" s="1" t="s">
        <v>230</v>
      </c>
      <c r="G58" s="1" t="s">
        <v>250</v>
      </c>
      <c r="H58" s="1" t="s">
        <v>264</v>
      </c>
      <c r="I58" s="2" t="s">
        <v>37</v>
      </c>
      <c r="J58" s="1" t="s">
        <v>70</v>
      </c>
      <c r="K58" s="1"/>
      <c r="L58" s="1"/>
    </row>
    <row r="59" spans="1:12" ht="135" x14ac:dyDescent="0.25">
      <c r="A59" s="1"/>
      <c r="B59" s="1" t="s">
        <v>288</v>
      </c>
      <c r="C59" s="1" t="s">
        <v>127</v>
      </c>
      <c r="D59" s="1" t="s">
        <v>141</v>
      </c>
      <c r="E59" s="1" t="s">
        <v>186</v>
      </c>
      <c r="F59" s="1" t="s">
        <v>231</v>
      </c>
      <c r="G59" s="1" t="s">
        <v>263</v>
      </c>
      <c r="H59" s="1"/>
      <c r="I59" s="2" t="s">
        <v>37</v>
      </c>
      <c r="J59" s="1" t="s">
        <v>70</v>
      </c>
      <c r="K59" s="1"/>
      <c r="L59" s="1"/>
    </row>
    <row r="60" spans="1:12" ht="120" x14ac:dyDescent="0.25">
      <c r="A60" s="1"/>
      <c r="B60" s="1" t="s">
        <v>326</v>
      </c>
      <c r="C60" s="1" t="s">
        <v>128</v>
      </c>
      <c r="D60" s="1" t="s">
        <v>141</v>
      </c>
      <c r="E60" s="1" t="s">
        <v>187</v>
      </c>
      <c r="F60" s="1" t="s">
        <v>232</v>
      </c>
      <c r="G60" s="1" t="s">
        <v>250</v>
      </c>
      <c r="H60" s="1" t="s">
        <v>337</v>
      </c>
      <c r="I60" s="2" t="s">
        <v>38</v>
      </c>
      <c r="J60" s="1" t="s">
        <v>70</v>
      </c>
      <c r="K60" s="1"/>
      <c r="L60" s="1"/>
    </row>
  </sheetData>
  <phoneticPr fontId="2" type="noConversion"/>
  <conditionalFormatting sqref="I4:I60">
    <cfRule type="expression" dxfId="1" priority="1">
      <formula>$I4="FAIL"</formula>
    </cfRule>
    <cfRule type="expression" dxfId="0" priority="2">
      <formula>$I4="PASS"</formula>
    </cfRule>
  </conditionalFormatting>
  <dataValidations count="1">
    <dataValidation type="list" allowBlank="1" showInputMessage="1" showErrorMessage="1" sqref="I4:I60" xr:uid="{9B456021-722F-45A6-B4AB-4D7CB37ED02F}">
      <formula1>"PASS, FAIL"</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AFD66-A454-40A3-926A-721D95719A41}">
  <dimension ref="A1:C7"/>
  <sheetViews>
    <sheetView showGridLines="0" tabSelected="1" workbookViewId="0">
      <selection activeCell="E7" sqref="E7"/>
    </sheetView>
  </sheetViews>
  <sheetFormatPr defaultRowHeight="15" x14ac:dyDescent="0.25"/>
  <cols>
    <col min="1" max="1" width="22.140625" bestFit="1" customWidth="1"/>
    <col min="2" max="2" width="1.42578125" customWidth="1"/>
  </cols>
  <sheetData>
    <row r="1" spans="1:3" ht="24" x14ac:dyDescent="0.4">
      <c r="A1" s="3" t="s">
        <v>59</v>
      </c>
    </row>
    <row r="3" spans="1:3" x14ac:dyDescent="0.25">
      <c r="A3" s="4" t="s">
        <v>52</v>
      </c>
      <c r="B3" t="s">
        <v>56</v>
      </c>
      <c r="C3" t="s">
        <v>57</v>
      </c>
    </row>
    <row r="4" spans="1:3" x14ac:dyDescent="0.25">
      <c r="A4" s="4" t="s">
        <v>53</v>
      </c>
      <c r="B4" t="s">
        <v>56</v>
      </c>
      <c r="C4">
        <v>40</v>
      </c>
    </row>
    <row r="5" spans="1:3" x14ac:dyDescent="0.25">
      <c r="A5" s="4" t="s">
        <v>54</v>
      </c>
      <c r="B5" t="s">
        <v>58</v>
      </c>
      <c r="C5">
        <f>COUNTIF(Table3[Status],"PASS")</f>
        <v>47</v>
      </c>
    </row>
    <row r="6" spans="1:3" x14ac:dyDescent="0.25">
      <c r="A6" s="4" t="s">
        <v>55</v>
      </c>
      <c r="B6" t="s">
        <v>58</v>
      </c>
      <c r="C6">
        <f>COUNTIF(Table3[Status],"FAIL")</f>
        <v>10</v>
      </c>
    </row>
    <row r="7" spans="1:3" x14ac:dyDescent="0.25">
      <c r="A7"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Acceptance Criteria</vt:lpstr>
      <vt:lpstr>Test Case</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Yuyaa Zeroo</dc:creator>
  <cp:lastModifiedBy>Ucup Yuyaa</cp:lastModifiedBy>
  <dcterms:created xsi:type="dcterms:W3CDTF">2026-06-08T07:04:23Z</dcterms:created>
  <dcterms:modified xsi:type="dcterms:W3CDTF">2026-07-01T15:54:18Z</dcterms:modified>
</cp:coreProperties>
</file>